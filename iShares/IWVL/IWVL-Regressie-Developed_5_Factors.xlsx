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Financieel\IndexFondsen\KeuzeWelkIndexFonds\OnderzoekPerFonds\iShares\IWVL\"/>
    </mc:Choice>
  </mc:AlternateContent>
  <xr:revisionPtr revIDLastSave="0" documentId="13_ncr:1_{BABFDBFA-ACB4-4D54-B074-FC65B2546BC8}" xr6:coauthVersionLast="45" xr6:coauthVersionMax="45" xr10:uidLastSave="{00000000-0000-0000-0000-000000000000}"/>
  <bookViews>
    <workbookView xWindow="345" yWindow="0" windowWidth="38535" windowHeight="21000" xr2:uid="{00000000-000D-0000-FFFF-FFFF00000000}"/>
  </bookViews>
  <sheets>
    <sheet name="Blad1" sheetId="3" r:id="rId1"/>
    <sheet name="Developed_5_Factor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</calcChain>
</file>

<file path=xl/sharedStrings.xml><?xml version="1.0" encoding="utf-8"?>
<sst xmlns="http://schemas.openxmlformats.org/spreadsheetml/2006/main" count="38" uniqueCount="32">
  <si>
    <t>Mkt-RF</t>
  </si>
  <si>
    <t>SMB</t>
  </si>
  <si>
    <t>HML</t>
  </si>
  <si>
    <t>RMW</t>
  </si>
  <si>
    <t>CMA</t>
  </si>
  <si>
    <t>RF</t>
  </si>
  <si>
    <t>IWVL</t>
  </si>
  <si>
    <t>SAMENVATTING UITVOER</t>
  </si>
  <si>
    <t>Gegevens voor de regressie</t>
  </si>
  <si>
    <t>Meervoudige correlatiecoëfficiënt R</t>
  </si>
  <si>
    <t>R-kwadraat</t>
  </si>
  <si>
    <t>Aangepaste kleinste kwadraat</t>
  </si>
  <si>
    <t>Standaardfout</t>
  </si>
  <si>
    <t>Waarnemingen</t>
  </si>
  <si>
    <t>Variantie-analyse</t>
  </si>
  <si>
    <t>Regressie</t>
  </si>
  <si>
    <t>Storing</t>
  </si>
  <si>
    <t>Totaal</t>
  </si>
  <si>
    <t>Snijpunt</t>
  </si>
  <si>
    <t>Vrijheidsgraden</t>
  </si>
  <si>
    <t>Kwadratensom</t>
  </si>
  <si>
    <t>Gemiddelde kwadraten</t>
  </si>
  <si>
    <t>F</t>
  </si>
  <si>
    <t>Significantie F</t>
  </si>
  <si>
    <t>Coëfficiënten</t>
  </si>
  <si>
    <t>T- statistische gegevens</t>
  </si>
  <si>
    <t>P-waarde</t>
  </si>
  <si>
    <t>Laagste 95%</t>
  </si>
  <si>
    <t>Hoogste 95%</t>
  </si>
  <si>
    <t>Laagste 95,0%</t>
  </si>
  <si>
    <t>Hoogste 95,0%</t>
  </si>
  <si>
    <t>IWVL Excess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</si>
</sst>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0" fontId="18" fillId="0" borderId="11" xfId="0" applyFont="1" applyFill="1" applyBorder="1" applyAlignment="1">
      <alignment horizontal="center"/>
    </xf>
    <xf numFmtId="4" fontId="0" fillId="0" borderId="0" xfId="0" applyNumberFormat="1"/>
    <xf numFmtId="0" fontId="16" fillId="0" borderId="0" xfId="0" applyFont="1"/>
    <xf numFmtId="0" fontId="0" fillId="0" borderId="0" xfId="0" applyFill="1" applyBorder="1" applyAlignment="1"/>
    <xf numFmtId="4" fontId="0" fillId="0" borderId="0" xfId="0" applyNumberFormat="1" applyAlignment="1">
      <alignment horizontal="right"/>
    </xf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BCE3-14B2-4FD1-8311-7A83C6411049}">
  <dimension ref="A1:I22"/>
  <sheetViews>
    <sheetView tabSelected="1" workbookViewId="0">
      <selection activeCell="B20" sqref="B20:D20"/>
    </sheetView>
  </sheetViews>
  <sheetFormatPr defaultRowHeight="15" x14ac:dyDescent="0.25"/>
  <cols>
    <col min="1" max="1" width="33.85546875" bestFit="1" customWidth="1"/>
    <col min="2" max="2" width="15.5703125" bestFit="1" customWidth="1"/>
    <col min="3" max="3" width="15.140625" bestFit="1" customWidth="1"/>
    <col min="4" max="4" width="22.5703125" bestFit="1" customWidth="1"/>
    <col min="5" max="5" width="12" bestFit="1" customWidth="1"/>
    <col min="6" max="6" width="13.7109375" bestFit="1" customWidth="1"/>
    <col min="7" max="7" width="12.85546875" bestFit="1" customWidth="1"/>
    <col min="8" max="8" width="14.140625" bestFit="1" customWidth="1"/>
    <col min="9" max="9" width="14.5703125" bestFit="1" customWidth="1"/>
  </cols>
  <sheetData>
    <row r="1" spans="1:9" x14ac:dyDescent="0.25">
      <c r="A1" t="s">
        <v>7</v>
      </c>
    </row>
    <row r="2" spans="1:9" ht="15.75" thickBot="1" x14ac:dyDescent="0.3"/>
    <row r="3" spans="1:9" x14ac:dyDescent="0.25">
      <c r="A3" s="2" t="s">
        <v>8</v>
      </c>
      <c r="B3" s="2"/>
    </row>
    <row r="4" spans="1:9" x14ac:dyDescent="0.25">
      <c r="A4" s="6" t="s">
        <v>9</v>
      </c>
      <c r="B4" s="6">
        <v>0.97550449074407786</v>
      </c>
    </row>
    <row r="5" spans="1:9" x14ac:dyDescent="0.25">
      <c r="A5" s="6" t="s">
        <v>10</v>
      </c>
      <c r="B5" s="6">
        <v>0.95160901146186272</v>
      </c>
    </row>
    <row r="6" spans="1:9" x14ac:dyDescent="0.25">
      <c r="A6" s="6" t="s">
        <v>11</v>
      </c>
      <c r="B6" s="6">
        <v>0.9478284654823208</v>
      </c>
    </row>
    <row r="7" spans="1:9" x14ac:dyDescent="0.25">
      <c r="A7" s="6" t="s">
        <v>12</v>
      </c>
      <c r="B7" s="6">
        <v>1.0156953602033116</v>
      </c>
    </row>
    <row r="8" spans="1:9" ht="15.75" thickBot="1" x14ac:dyDescent="0.3">
      <c r="A8" s="1" t="s">
        <v>13</v>
      </c>
      <c r="B8" s="1">
        <v>70</v>
      </c>
    </row>
    <row r="10" spans="1:9" ht="15.75" thickBot="1" x14ac:dyDescent="0.3">
      <c r="A10" t="s">
        <v>14</v>
      </c>
    </row>
    <row r="11" spans="1:9" x14ac:dyDescent="0.25">
      <c r="A11" s="3"/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9" x14ac:dyDescent="0.25">
      <c r="A12" s="6" t="s">
        <v>15</v>
      </c>
      <c r="B12" s="6">
        <v>5</v>
      </c>
      <c r="C12" s="6">
        <v>1298.3774469027812</v>
      </c>
      <c r="D12" s="6">
        <v>259.67548938055626</v>
      </c>
      <c r="E12" s="6">
        <v>251.7120586844853</v>
      </c>
      <c r="F12" s="6">
        <v>1.0969217566052292E-40</v>
      </c>
    </row>
    <row r="13" spans="1:9" x14ac:dyDescent="0.25">
      <c r="A13" s="6" t="s">
        <v>16</v>
      </c>
      <c r="B13" s="6">
        <v>64</v>
      </c>
      <c r="C13" s="6">
        <v>66.024772143266233</v>
      </c>
      <c r="D13" s="6">
        <v>1.0316370647385349</v>
      </c>
      <c r="E13" s="6"/>
      <c r="F13" s="6"/>
    </row>
    <row r="14" spans="1:9" ht="15.75" thickBot="1" x14ac:dyDescent="0.3">
      <c r="A14" s="1" t="s">
        <v>17</v>
      </c>
      <c r="B14" s="1">
        <v>69</v>
      </c>
      <c r="C14" s="1">
        <v>1364.4022190460475</v>
      </c>
      <c r="D14" s="1"/>
      <c r="E14" s="1"/>
      <c r="F14" s="1"/>
    </row>
    <row r="15" spans="1:9" ht="15.75" thickBot="1" x14ac:dyDescent="0.3"/>
    <row r="16" spans="1:9" x14ac:dyDescent="0.25">
      <c r="A16" s="3"/>
      <c r="B16" s="3" t="s">
        <v>24</v>
      </c>
      <c r="C16" s="3" t="s">
        <v>12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29</v>
      </c>
      <c r="I16" s="3" t="s">
        <v>30</v>
      </c>
    </row>
    <row r="17" spans="1:9" x14ac:dyDescent="0.25">
      <c r="A17" s="6" t="s">
        <v>18</v>
      </c>
      <c r="B17" s="8">
        <v>-0.1465964711981482</v>
      </c>
      <c r="C17" s="8">
        <v>0.13234767441321174</v>
      </c>
      <c r="D17" s="8">
        <v>-1.1076618599315113</v>
      </c>
      <c r="E17" s="8">
        <v>0.27215349114805787</v>
      </c>
      <c r="F17" s="8">
        <v>-0.41099134505340462</v>
      </c>
      <c r="G17" s="8">
        <v>0.1177984026571082</v>
      </c>
      <c r="H17" s="8">
        <v>-0.41099134505340462</v>
      </c>
      <c r="I17" s="8">
        <v>0.1177984026571082</v>
      </c>
    </row>
    <row r="18" spans="1:9" x14ac:dyDescent="0.25">
      <c r="A18" s="6" t="s">
        <v>0</v>
      </c>
      <c r="B18" s="8">
        <v>1.00083002282587</v>
      </c>
      <c r="C18" s="8">
        <v>3.5805356646754639E-2</v>
      </c>
      <c r="D18" s="8">
        <v>27.951963520424371</v>
      </c>
      <c r="E18" s="8">
        <v>1.4025626238469663E-37</v>
      </c>
      <c r="F18" s="8">
        <v>0.92930060006922699</v>
      </c>
      <c r="G18" s="8">
        <v>1.0723594455825129</v>
      </c>
      <c r="H18" s="8">
        <v>0.92930060006922699</v>
      </c>
      <c r="I18" s="8">
        <v>1.0723594455825129</v>
      </c>
    </row>
    <row r="19" spans="1:9" x14ac:dyDescent="0.25">
      <c r="A19" s="6" t="s">
        <v>1</v>
      </c>
      <c r="B19" s="8">
        <v>-0.10127741811073838</v>
      </c>
      <c r="C19" s="8">
        <v>9.3136739937769913E-2</v>
      </c>
      <c r="D19" s="8">
        <v>-1.0874056594466128</v>
      </c>
      <c r="E19" s="8">
        <v>0.28093591073155733</v>
      </c>
      <c r="F19" s="8">
        <v>-0.28733944539089656</v>
      </c>
      <c r="G19" s="8">
        <v>8.4784609169419808E-2</v>
      </c>
      <c r="H19" s="8">
        <v>-0.28733944539089656</v>
      </c>
      <c r="I19" s="8">
        <v>8.4784609169419808E-2</v>
      </c>
    </row>
    <row r="20" spans="1:9" x14ac:dyDescent="0.25">
      <c r="A20" s="6" t="s">
        <v>2</v>
      </c>
      <c r="B20" s="8">
        <v>0.48968427070368181</v>
      </c>
      <c r="C20" s="8">
        <v>0.10266641328866985</v>
      </c>
      <c r="D20" s="8">
        <v>4.7696637587486732</v>
      </c>
      <c r="E20" s="8">
        <v>1.1068263171043666E-5</v>
      </c>
      <c r="F20" s="8">
        <v>0.28458453237446973</v>
      </c>
      <c r="G20" s="8">
        <v>0.69478400903289383</v>
      </c>
      <c r="H20" s="8">
        <v>0.28458453237446973</v>
      </c>
      <c r="I20" s="8">
        <v>0.69478400903289383</v>
      </c>
    </row>
    <row r="21" spans="1:9" x14ac:dyDescent="0.25">
      <c r="A21" s="6" t="s">
        <v>3</v>
      </c>
      <c r="B21" s="8">
        <v>-0.17983400015595161</v>
      </c>
      <c r="C21" s="8">
        <v>0.1472955434035966</v>
      </c>
      <c r="D21" s="8">
        <v>-1.2209059147376791</v>
      </c>
      <c r="E21" s="8">
        <v>0.22660058149958515</v>
      </c>
      <c r="F21" s="8">
        <v>-0.47409067516215575</v>
      </c>
      <c r="G21" s="8">
        <v>0.11442267485025256</v>
      </c>
      <c r="H21" s="8">
        <v>-0.47409067516215575</v>
      </c>
      <c r="I21" s="8">
        <v>0.11442267485025256</v>
      </c>
    </row>
    <row r="22" spans="1:9" ht="15.75" thickBot="1" x14ac:dyDescent="0.3">
      <c r="A22" s="1" t="s">
        <v>4</v>
      </c>
      <c r="B22" s="9">
        <v>-0.2245431114933594</v>
      </c>
      <c r="C22" s="9">
        <v>0.171214394658668</v>
      </c>
      <c r="D22" s="9">
        <v>-1.3114733252481907</v>
      </c>
      <c r="E22" s="9">
        <v>0.19438341251096936</v>
      </c>
      <c r="F22" s="9">
        <v>-0.5665831849490337</v>
      </c>
      <c r="G22" s="9">
        <v>0.11749696196231493</v>
      </c>
      <c r="H22" s="9">
        <v>-0.5665831849490337</v>
      </c>
      <c r="I22" s="9">
        <v>0.11749696196231493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workbookViewId="0">
      <selection activeCell="I2" sqref="I2"/>
    </sheetView>
  </sheetViews>
  <sheetFormatPr defaultRowHeight="15" x14ac:dyDescent="0.25"/>
  <cols>
    <col min="2" max="2" width="7.28515625" bestFit="1" customWidth="1"/>
    <col min="3" max="6" width="6.7109375" bestFit="1" customWidth="1"/>
    <col min="7" max="7" width="5" bestFit="1" customWidth="1"/>
    <col min="8" max="8" width="6.28515625" bestFit="1" customWidth="1"/>
    <col min="9" max="9" width="11.7109375" bestFit="1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31</v>
      </c>
    </row>
    <row r="2" spans="1:9" x14ac:dyDescent="0.25">
      <c r="A2">
        <v>201411</v>
      </c>
      <c r="B2">
        <v>1.65</v>
      </c>
      <c r="C2">
        <v>-2.44</v>
      </c>
      <c r="D2">
        <v>-2.04</v>
      </c>
      <c r="E2">
        <v>0.76</v>
      </c>
      <c r="F2">
        <v>-0.27</v>
      </c>
      <c r="G2">
        <v>0</v>
      </c>
      <c r="H2" s="7">
        <v>1.9841850000000001</v>
      </c>
      <c r="I2" s="4">
        <f>H2-G2</f>
        <v>1.9841850000000001</v>
      </c>
    </row>
    <row r="3" spans="1:9" x14ac:dyDescent="0.25">
      <c r="A3">
        <v>201412</v>
      </c>
      <c r="B3">
        <v>-1.44</v>
      </c>
      <c r="C3">
        <v>1.78</v>
      </c>
      <c r="D3">
        <v>0.02</v>
      </c>
      <c r="E3">
        <v>-0.32</v>
      </c>
      <c r="F3">
        <v>0.12</v>
      </c>
      <c r="G3">
        <v>0</v>
      </c>
      <c r="H3" s="7">
        <v>-1.4056820000000001</v>
      </c>
      <c r="I3" s="4">
        <f t="shared" ref="I3:I66" si="0">H3-G3</f>
        <v>-1.4056820000000001</v>
      </c>
    </row>
    <row r="4" spans="1:9" x14ac:dyDescent="0.25">
      <c r="A4">
        <v>201501</v>
      </c>
      <c r="B4">
        <v>-1.74</v>
      </c>
      <c r="C4">
        <v>-0.05</v>
      </c>
      <c r="D4">
        <v>-2.42</v>
      </c>
      <c r="E4">
        <v>2.09</v>
      </c>
      <c r="F4">
        <v>-0.69</v>
      </c>
      <c r="G4">
        <v>0</v>
      </c>
      <c r="H4" s="7">
        <v>-2.1150289999999998</v>
      </c>
      <c r="I4" s="4">
        <f t="shared" si="0"/>
        <v>-2.1150289999999998</v>
      </c>
    </row>
    <row r="5" spans="1:9" x14ac:dyDescent="0.25">
      <c r="A5">
        <v>201502</v>
      </c>
      <c r="B5">
        <v>5.91</v>
      </c>
      <c r="C5">
        <v>-0.5</v>
      </c>
      <c r="D5">
        <v>-0.36</v>
      </c>
      <c r="E5">
        <v>-1</v>
      </c>
      <c r="F5">
        <v>-0.88</v>
      </c>
      <c r="G5">
        <v>0</v>
      </c>
      <c r="H5" s="7">
        <v>6.5822929999999999</v>
      </c>
      <c r="I5" s="4">
        <f t="shared" si="0"/>
        <v>6.5822929999999999</v>
      </c>
    </row>
    <row r="6" spans="1:9" x14ac:dyDescent="0.25">
      <c r="A6">
        <v>201503</v>
      </c>
      <c r="B6">
        <v>-1.17</v>
      </c>
      <c r="C6">
        <v>1.44</v>
      </c>
      <c r="D6">
        <v>-0.81</v>
      </c>
      <c r="E6">
        <v>0.05</v>
      </c>
      <c r="F6">
        <v>-0.4</v>
      </c>
      <c r="G6">
        <v>0</v>
      </c>
      <c r="H6" s="7">
        <v>-1.3136779999999999</v>
      </c>
      <c r="I6" s="4">
        <f t="shared" si="0"/>
        <v>-1.3136779999999999</v>
      </c>
    </row>
    <row r="7" spans="1:9" x14ac:dyDescent="0.25">
      <c r="A7">
        <v>201504</v>
      </c>
      <c r="B7">
        <v>2.71</v>
      </c>
      <c r="C7">
        <v>0.9</v>
      </c>
      <c r="D7">
        <v>2.2599999999999998</v>
      </c>
      <c r="E7">
        <v>-0.7</v>
      </c>
      <c r="F7">
        <v>-0.48</v>
      </c>
      <c r="G7">
        <v>0</v>
      </c>
      <c r="H7" s="7">
        <v>3.1583920000000001</v>
      </c>
      <c r="I7" s="4">
        <f t="shared" si="0"/>
        <v>3.1583920000000001</v>
      </c>
    </row>
    <row r="8" spans="1:9" x14ac:dyDescent="0.25">
      <c r="A8">
        <v>201505</v>
      </c>
      <c r="B8">
        <v>0.5</v>
      </c>
      <c r="C8">
        <v>1.05</v>
      </c>
      <c r="D8">
        <v>-1.1399999999999999</v>
      </c>
      <c r="E8">
        <v>-1.06</v>
      </c>
      <c r="F8">
        <v>-0.41</v>
      </c>
      <c r="G8">
        <v>0</v>
      </c>
      <c r="H8" s="7">
        <v>1.272267</v>
      </c>
      <c r="I8" s="4">
        <f t="shared" si="0"/>
        <v>1.272267</v>
      </c>
    </row>
    <row r="9" spans="1:9" x14ac:dyDescent="0.25">
      <c r="A9">
        <v>201506</v>
      </c>
      <c r="B9">
        <v>-2.09</v>
      </c>
      <c r="C9">
        <v>2.06</v>
      </c>
      <c r="D9">
        <v>-0.65</v>
      </c>
      <c r="E9">
        <v>0</v>
      </c>
      <c r="F9">
        <v>-0.27</v>
      </c>
      <c r="G9">
        <v>0</v>
      </c>
      <c r="H9" s="7">
        <v>-2.725984</v>
      </c>
      <c r="I9" s="4">
        <f t="shared" si="0"/>
        <v>-2.725984</v>
      </c>
    </row>
    <row r="10" spans="1:9" x14ac:dyDescent="0.25">
      <c r="A10">
        <v>201507</v>
      </c>
      <c r="B10">
        <v>1.1299999999999999</v>
      </c>
      <c r="C10">
        <v>-3.29</v>
      </c>
      <c r="D10">
        <v>-3.25</v>
      </c>
      <c r="E10">
        <v>1.76</v>
      </c>
      <c r="F10">
        <v>-0.72</v>
      </c>
      <c r="G10">
        <v>0</v>
      </c>
      <c r="H10" s="7">
        <v>0.40439900000000001</v>
      </c>
      <c r="I10" s="4">
        <f t="shared" si="0"/>
        <v>0.40439900000000001</v>
      </c>
    </row>
    <row r="11" spans="1:9" x14ac:dyDescent="0.25">
      <c r="A11">
        <v>201508</v>
      </c>
      <c r="B11">
        <v>-6.18</v>
      </c>
      <c r="C11">
        <v>1.37</v>
      </c>
      <c r="D11">
        <v>1.28</v>
      </c>
      <c r="E11">
        <v>0.51</v>
      </c>
      <c r="F11">
        <v>0.84</v>
      </c>
      <c r="G11">
        <v>0</v>
      </c>
      <c r="H11" s="7">
        <v>-7.133934</v>
      </c>
      <c r="I11" s="4">
        <f t="shared" si="0"/>
        <v>-7.133934</v>
      </c>
    </row>
    <row r="12" spans="1:9" x14ac:dyDescent="0.25">
      <c r="A12">
        <v>201509</v>
      </c>
      <c r="B12">
        <v>-3.91</v>
      </c>
      <c r="C12">
        <v>-0.1</v>
      </c>
      <c r="D12">
        <v>-1.02</v>
      </c>
      <c r="E12">
        <v>1.86</v>
      </c>
      <c r="F12">
        <v>0.53</v>
      </c>
      <c r="G12">
        <v>0</v>
      </c>
      <c r="H12" s="7">
        <v>-5.2798350000000003</v>
      </c>
      <c r="I12" s="4">
        <f t="shared" si="0"/>
        <v>-5.2798350000000003</v>
      </c>
    </row>
    <row r="13" spans="1:9" x14ac:dyDescent="0.25">
      <c r="A13">
        <v>201510</v>
      </c>
      <c r="B13">
        <v>7.32</v>
      </c>
      <c r="C13">
        <v>-2.37</v>
      </c>
      <c r="D13">
        <v>0.34</v>
      </c>
      <c r="E13">
        <v>0.82</v>
      </c>
      <c r="F13">
        <v>-0.49</v>
      </c>
      <c r="G13">
        <v>0</v>
      </c>
      <c r="H13" s="7">
        <v>8.1481309999999993</v>
      </c>
      <c r="I13" s="4">
        <f t="shared" si="0"/>
        <v>8.1481309999999993</v>
      </c>
    </row>
    <row r="14" spans="1:9" x14ac:dyDescent="0.25">
      <c r="A14">
        <v>201511</v>
      </c>
      <c r="B14">
        <v>-0.3</v>
      </c>
      <c r="C14">
        <v>1.46</v>
      </c>
      <c r="D14">
        <v>-1.99</v>
      </c>
      <c r="E14">
        <v>0.55000000000000004</v>
      </c>
      <c r="F14">
        <v>-1.39</v>
      </c>
      <c r="G14">
        <v>0</v>
      </c>
      <c r="H14" s="7">
        <v>-1.7971200000000001</v>
      </c>
      <c r="I14" s="4">
        <f t="shared" si="0"/>
        <v>-1.7971200000000001</v>
      </c>
    </row>
    <row r="15" spans="1:9" x14ac:dyDescent="0.25">
      <c r="A15">
        <v>201512</v>
      </c>
      <c r="B15">
        <v>-1.73</v>
      </c>
      <c r="C15">
        <v>0.84</v>
      </c>
      <c r="D15">
        <v>-1.7</v>
      </c>
      <c r="E15">
        <v>0.76</v>
      </c>
      <c r="F15">
        <v>-0.43</v>
      </c>
      <c r="G15">
        <v>0.01</v>
      </c>
      <c r="H15" s="7">
        <v>-1.440212</v>
      </c>
      <c r="I15" s="4">
        <f t="shared" si="0"/>
        <v>-1.4502120000000001</v>
      </c>
    </row>
    <row r="16" spans="1:9" x14ac:dyDescent="0.25">
      <c r="A16">
        <v>201601</v>
      </c>
      <c r="B16">
        <v>-6.32</v>
      </c>
      <c r="C16">
        <v>-1.75</v>
      </c>
      <c r="D16">
        <v>0.76</v>
      </c>
      <c r="E16">
        <v>2.73</v>
      </c>
      <c r="F16">
        <v>2.75</v>
      </c>
      <c r="G16">
        <v>0.01</v>
      </c>
      <c r="H16" s="7">
        <v>-8.3929419999999997</v>
      </c>
      <c r="I16" s="4">
        <f t="shared" si="0"/>
        <v>-8.4029419999999995</v>
      </c>
    </row>
    <row r="17" spans="1:9" x14ac:dyDescent="0.25">
      <c r="A17">
        <v>201602</v>
      </c>
      <c r="B17">
        <v>-0.5</v>
      </c>
      <c r="C17">
        <v>0.93</v>
      </c>
      <c r="D17">
        <v>-0.21</v>
      </c>
      <c r="E17">
        <v>1.17</v>
      </c>
      <c r="F17">
        <v>1.83</v>
      </c>
      <c r="G17">
        <v>0.02</v>
      </c>
      <c r="H17" s="7">
        <v>-1.217767</v>
      </c>
      <c r="I17" s="4">
        <f t="shared" si="0"/>
        <v>-1.2377670000000001</v>
      </c>
    </row>
    <row r="18" spans="1:9" x14ac:dyDescent="0.25">
      <c r="A18">
        <v>201603</v>
      </c>
      <c r="B18">
        <v>6.92</v>
      </c>
      <c r="C18">
        <v>1.34</v>
      </c>
      <c r="D18">
        <v>0.41</v>
      </c>
      <c r="E18">
        <v>0.66</v>
      </c>
      <c r="F18">
        <v>-0.68</v>
      </c>
      <c r="G18">
        <v>0.02</v>
      </c>
      <c r="H18" s="7">
        <v>6.2340400000000002</v>
      </c>
      <c r="I18" s="4">
        <f t="shared" si="0"/>
        <v>6.2140400000000007</v>
      </c>
    </row>
    <row r="19" spans="1:9" x14ac:dyDescent="0.25">
      <c r="A19">
        <v>201604</v>
      </c>
      <c r="B19">
        <v>1.91</v>
      </c>
      <c r="C19">
        <v>1.26</v>
      </c>
      <c r="D19">
        <v>2.98</v>
      </c>
      <c r="E19">
        <v>-2.77</v>
      </c>
      <c r="F19">
        <v>0.77</v>
      </c>
      <c r="G19">
        <v>0.01</v>
      </c>
      <c r="H19" s="7">
        <v>3.3217759999999998</v>
      </c>
      <c r="I19" s="4">
        <f t="shared" si="0"/>
        <v>3.3117760000000001</v>
      </c>
    </row>
    <row r="20" spans="1:9" x14ac:dyDescent="0.25">
      <c r="A20">
        <v>201605</v>
      </c>
      <c r="B20">
        <v>0.45</v>
      </c>
      <c r="C20">
        <v>-0.23</v>
      </c>
      <c r="D20">
        <v>-2.11</v>
      </c>
      <c r="E20">
        <v>0.64</v>
      </c>
      <c r="F20">
        <v>-1.25</v>
      </c>
      <c r="G20">
        <v>0.01</v>
      </c>
      <c r="H20" s="7">
        <v>-0.25094899999999998</v>
      </c>
      <c r="I20" s="4">
        <f t="shared" si="0"/>
        <v>-0.26094899999999999</v>
      </c>
    </row>
    <row r="21" spans="1:9" x14ac:dyDescent="0.25">
      <c r="A21">
        <v>201606</v>
      </c>
      <c r="B21">
        <v>-1.67</v>
      </c>
      <c r="C21">
        <v>-0.41</v>
      </c>
      <c r="D21">
        <v>-0.73</v>
      </c>
      <c r="E21">
        <v>1.59</v>
      </c>
      <c r="F21">
        <v>2.11</v>
      </c>
      <c r="G21">
        <v>0.02</v>
      </c>
      <c r="H21" s="7">
        <v>-3.8698109999999999</v>
      </c>
      <c r="I21" s="4">
        <f t="shared" si="0"/>
        <v>-3.8898109999999999</v>
      </c>
    </row>
    <row r="22" spans="1:9" x14ac:dyDescent="0.25">
      <c r="A22">
        <v>201607</v>
      </c>
      <c r="B22">
        <v>4.4800000000000004</v>
      </c>
      <c r="C22">
        <v>1.38</v>
      </c>
      <c r="D22">
        <v>0.46</v>
      </c>
      <c r="E22">
        <v>0.02</v>
      </c>
      <c r="F22">
        <v>-1.4</v>
      </c>
      <c r="G22">
        <v>0.02</v>
      </c>
      <c r="H22" s="7">
        <v>5.6153870000000001</v>
      </c>
      <c r="I22" s="4">
        <f t="shared" si="0"/>
        <v>5.5953870000000006</v>
      </c>
    </row>
    <row r="23" spans="1:9" x14ac:dyDescent="0.25">
      <c r="A23">
        <v>201608</v>
      </c>
      <c r="B23">
        <v>0.28999999999999998</v>
      </c>
      <c r="C23">
        <v>0.55000000000000004</v>
      </c>
      <c r="D23">
        <v>2.19</v>
      </c>
      <c r="E23">
        <v>-1.38</v>
      </c>
      <c r="F23">
        <v>-0.44</v>
      </c>
      <c r="G23">
        <v>0.02</v>
      </c>
      <c r="H23" s="7">
        <v>1.8675470000000001</v>
      </c>
      <c r="I23" s="4">
        <f t="shared" si="0"/>
        <v>1.8475470000000001</v>
      </c>
    </row>
    <row r="24" spans="1:9" x14ac:dyDescent="0.25">
      <c r="A24">
        <v>201609</v>
      </c>
      <c r="B24">
        <v>0.9</v>
      </c>
      <c r="C24">
        <v>2.1</v>
      </c>
      <c r="D24">
        <v>-1.23</v>
      </c>
      <c r="E24">
        <v>-0.52</v>
      </c>
      <c r="F24">
        <v>0.13</v>
      </c>
      <c r="G24">
        <v>0.02</v>
      </c>
      <c r="H24" s="7">
        <v>0.26180900000000001</v>
      </c>
      <c r="I24" s="4">
        <f t="shared" si="0"/>
        <v>0.24180900000000002</v>
      </c>
    </row>
    <row r="25" spans="1:9" x14ac:dyDescent="0.25">
      <c r="A25">
        <v>201610</v>
      </c>
      <c r="B25">
        <v>-1.88</v>
      </c>
      <c r="C25">
        <v>-1.0900000000000001</v>
      </c>
      <c r="D25">
        <v>4.09</v>
      </c>
      <c r="E25">
        <v>-1.07</v>
      </c>
      <c r="F25">
        <v>1.27</v>
      </c>
      <c r="G25">
        <v>0.02</v>
      </c>
      <c r="H25" s="7">
        <v>0.30830299999999999</v>
      </c>
      <c r="I25" s="4">
        <f t="shared" si="0"/>
        <v>0.28830299999999998</v>
      </c>
    </row>
    <row r="26" spans="1:9" x14ac:dyDescent="0.25">
      <c r="A26">
        <v>201611</v>
      </c>
      <c r="B26">
        <v>1.39</v>
      </c>
      <c r="C26">
        <v>0.61</v>
      </c>
      <c r="D26">
        <v>4.3899999999999997</v>
      </c>
      <c r="E26">
        <v>-2.02</v>
      </c>
      <c r="F26">
        <v>1.77</v>
      </c>
      <c r="G26">
        <v>0.01</v>
      </c>
      <c r="H26" s="7">
        <v>1.8147420000000001</v>
      </c>
      <c r="I26" s="4">
        <f t="shared" si="0"/>
        <v>1.8047420000000001</v>
      </c>
    </row>
    <row r="27" spans="1:9" x14ac:dyDescent="0.25">
      <c r="A27">
        <v>201612</v>
      </c>
      <c r="B27">
        <v>2.25</v>
      </c>
      <c r="C27">
        <v>-0.14000000000000001</v>
      </c>
      <c r="D27">
        <v>2.76</v>
      </c>
      <c r="E27">
        <v>-0.11</v>
      </c>
      <c r="F27">
        <v>0.79</v>
      </c>
      <c r="G27">
        <v>0.03</v>
      </c>
      <c r="H27" s="7">
        <v>3.0605709999999999</v>
      </c>
      <c r="I27" s="4">
        <f t="shared" si="0"/>
        <v>3.0305710000000001</v>
      </c>
    </row>
    <row r="28" spans="1:9" x14ac:dyDescent="0.25">
      <c r="A28">
        <v>201701</v>
      </c>
      <c r="B28">
        <v>2.72</v>
      </c>
      <c r="C28">
        <v>0.4</v>
      </c>
      <c r="D28">
        <v>-0.53</v>
      </c>
      <c r="E28">
        <v>-0.16</v>
      </c>
      <c r="F28">
        <v>-0.77</v>
      </c>
      <c r="G28">
        <v>0.04</v>
      </c>
      <c r="H28" s="7">
        <v>2.2932809999999999</v>
      </c>
      <c r="I28" s="4">
        <f t="shared" si="0"/>
        <v>2.2532809999999999</v>
      </c>
    </row>
    <row r="29" spans="1:9" x14ac:dyDescent="0.25">
      <c r="A29">
        <v>201702</v>
      </c>
      <c r="B29">
        <v>2.2799999999999998</v>
      </c>
      <c r="C29">
        <v>-0.71</v>
      </c>
      <c r="D29">
        <v>-1.74</v>
      </c>
      <c r="E29">
        <v>1.1399999999999999</v>
      </c>
      <c r="F29">
        <v>-0.99</v>
      </c>
      <c r="G29">
        <v>0.04</v>
      </c>
      <c r="H29" s="7">
        <v>1.9665299999999999</v>
      </c>
      <c r="I29" s="4">
        <f t="shared" si="0"/>
        <v>1.9265299999999999</v>
      </c>
    </row>
    <row r="30" spans="1:9" x14ac:dyDescent="0.25">
      <c r="A30">
        <v>201703</v>
      </c>
      <c r="B30">
        <v>1.48</v>
      </c>
      <c r="C30">
        <v>0.18</v>
      </c>
      <c r="D30">
        <v>-1.81</v>
      </c>
      <c r="E30">
        <v>1.01</v>
      </c>
      <c r="F30">
        <v>-0.54</v>
      </c>
      <c r="G30">
        <v>0.03</v>
      </c>
      <c r="H30" s="7">
        <v>0.40306500000000001</v>
      </c>
      <c r="I30" s="4">
        <f t="shared" si="0"/>
        <v>0.37306499999999998</v>
      </c>
    </row>
    <row r="31" spans="1:9" x14ac:dyDescent="0.25">
      <c r="A31">
        <v>201704</v>
      </c>
      <c r="B31">
        <v>1.86</v>
      </c>
      <c r="C31">
        <v>0.33</v>
      </c>
      <c r="D31">
        <v>-1.39</v>
      </c>
      <c r="E31">
        <v>1.03</v>
      </c>
      <c r="F31">
        <v>-1.01</v>
      </c>
      <c r="G31">
        <v>0.05</v>
      </c>
      <c r="H31" s="7">
        <v>0.75240600000000002</v>
      </c>
      <c r="I31" s="4">
        <f t="shared" si="0"/>
        <v>0.70240599999999997</v>
      </c>
    </row>
    <row r="32" spans="1:9" x14ac:dyDescent="0.25">
      <c r="A32">
        <v>201705</v>
      </c>
      <c r="B32">
        <v>2.2000000000000002</v>
      </c>
      <c r="C32">
        <v>-0.61</v>
      </c>
      <c r="D32">
        <v>-2.59</v>
      </c>
      <c r="E32">
        <v>2.09</v>
      </c>
      <c r="F32">
        <v>-1.03</v>
      </c>
      <c r="G32">
        <v>0.06</v>
      </c>
      <c r="H32" s="7">
        <v>0.95672999999999997</v>
      </c>
      <c r="I32" s="4">
        <f t="shared" si="0"/>
        <v>0.89673000000000003</v>
      </c>
    </row>
    <row r="33" spans="1:9" x14ac:dyDescent="0.25">
      <c r="A33">
        <v>201706</v>
      </c>
      <c r="B33">
        <v>0.6</v>
      </c>
      <c r="C33">
        <v>1.64</v>
      </c>
      <c r="D33">
        <v>1.74</v>
      </c>
      <c r="E33">
        <v>-1.9</v>
      </c>
      <c r="F33">
        <v>0.05</v>
      </c>
      <c r="G33">
        <v>0.06</v>
      </c>
      <c r="H33" s="7">
        <v>1.09795</v>
      </c>
      <c r="I33" s="4">
        <f t="shared" si="0"/>
        <v>1.0379499999999999</v>
      </c>
    </row>
    <row r="34" spans="1:9" x14ac:dyDescent="0.25">
      <c r="A34">
        <v>201707</v>
      </c>
      <c r="B34">
        <v>2.5099999999999998</v>
      </c>
      <c r="C34">
        <v>0.02</v>
      </c>
      <c r="D34">
        <v>1.02</v>
      </c>
      <c r="E34">
        <v>-0.76</v>
      </c>
      <c r="F34">
        <v>0.35</v>
      </c>
      <c r="G34">
        <v>7.0000000000000007E-2</v>
      </c>
      <c r="H34" s="7">
        <v>2.960645</v>
      </c>
      <c r="I34" s="4">
        <f t="shared" si="0"/>
        <v>2.8906450000000001</v>
      </c>
    </row>
    <row r="35" spans="1:9" x14ac:dyDescent="0.25">
      <c r="A35">
        <v>201708</v>
      </c>
      <c r="B35">
        <v>0.13</v>
      </c>
      <c r="C35">
        <v>-0.15</v>
      </c>
      <c r="D35">
        <v>-1.33</v>
      </c>
      <c r="E35">
        <v>1.22</v>
      </c>
      <c r="F35">
        <v>-1.29</v>
      </c>
      <c r="G35">
        <v>0.09</v>
      </c>
      <c r="H35" s="7">
        <v>-0.3216</v>
      </c>
      <c r="I35" s="4">
        <f t="shared" si="0"/>
        <v>-0.41159999999999997</v>
      </c>
    </row>
    <row r="36" spans="1:9" x14ac:dyDescent="0.25">
      <c r="A36">
        <v>201709</v>
      </c>
      <c r="B36">
        <v>2.2999999999999998</v>
      </c>
      <c r="C36">
        <v>1.35</v>
      </c>
      <c r="D36">
        <v>1.64</v>
      </c>
      <c r="E36">
        <v>-1.17</v>
      </c>
      <c r="F36">
        <v>1.08</v>
      </c>
      <c r="G36">
        <v>0.09</v>
      </c>
      <c r="H36" s="7">
        <v>3.323061</v>
      </c>
      <c r="I36" s="4">
        <f t="shared" si="0"/>
        <v>3.2330610000000002</v>
      </c>
    </row>
    <row r="37" spans="1:9" x14ac:dyDescent="0.25">
      <c r="A37">
        <v>201710</v>
      </c>
      <c r="B37">
        <v>1.8</v>
      </c>
      <c r="C37">
        <v>-0.85</v>
      </c>
      <c r="D37">
        <v>-0.91</v>
      </c>
      <c r="E37">
        <v>0.98</v>
      </c>
      <c r="F37">
        <v>-1.92</v>
      </c>
      <c r="G37">
        <v>0.09</v>
      </c>
      <c r="H37" s="7">
        <v>2.4567459999999999</v>
      </c>
      <c r="I37" s="4">
        <f t="shared" si="0"/>
        <v>2.366746</v>
      </c>
    </row>
    <row r="38" spans="1:9" x14ac:dyDescent="0.25">
      <c r="A38">
        <v>201711</v>
      </c>
      <c r="B38">
        <v>1.93</v>
      </c>
      <c r="C38">
        <v>-0.67</v>
      </c>
      <c r="D38">
        <v>-0.13</v>
      </c>
      <c r="E38">
        <v>1.43</v>
      </c>
      <c r="F38">
        <v>-0.22</v>
      </c>
      <c r="G38">
        <v>0.08</v>
      </c>
      <c r="H38" s="7">
        <v>2.5960549999999998</v>
      </c>
      <c r="I38" s="4">
        <f t="shared" si="0"/>
        <v>2.5160549999999997</v>
      </c>
    </row>
    <row r="39" spans="1:9" x14ac:dyDescent="0.25">
      <c r="A39">
        <v>201712</v>
      </c>
      <c r="B39">
        <v>1.38</v>
      </c>
      <c r="C39">
        <v>0.83</v>
      </c>
      <c r="D39">
        <v>0.12</v>
      </c>
      <c r="E39">
        <v>-0.19</v>
      </c>
      <c r="F39">
        <v>0.8</v>
      </c>
      <c r="G39">
        <v>0.09</v>
      </c>
      <c r="H39" s="7">
        <v>1.7621070000000001</v>
      </c>
      <c r="I39" s="4">
        <f t="shared" si="0"/>
        <v>1.672107</v>
      </c>
    </row>
    <row r="40" spans="1:9" x14ac:dyDescent="0.25">
      <c r="A40">
        <v>201801</v>
      </c>
      <c r="B40">
        <v>5.15</v>
      </c>
      <c r="C40">
        <v>-1.21</v>
      </c>
      <c r="D40">
        <v>-1.43</v>
      </c>
      <c r="E40">
        <v>-0.16</v>
      </c>
      <c r="F40">
        <v>-0.55000000000000004</v>
      </c>
      <c r="G40">
        <v>0.11</v>
      </c>
      <c r="H40" s="7">
        <v>5.2867629999999997</v>
      </c>
      <c r="I40" s="4">
        <f t="shared" si="0"/>
        <v>5.1767629999999993</v>
      </c>
    </row>
    <row r="41" spans="1:9" x14ac:dyDescent="0.25">
      <c r="A41">
        <v>201802</v>
      </c>
      <c r="B41">
        <v>-4</v>
      </c>
      <c r="C41">
        <v>0.77</v>
      </c>
      <c r="D41">
        <v>-1.79</v>
      </c>
      <c r="E41">
        <v>1.1000000000000001</v>
      </c>
      <c r="F41">
        <v>-1.77</v>
      </c>
      <c r="G41">
        <v>0.11</v>
      </c>
      <c r="H41" s="7">
        <v>-3.6837200000000001</v>
      </c>
      <c r="I41" s="4">
        <f t="shared" si="0"/>
        <v>-3.79372</v>
      </c>
    </row>
    <row r="42" spans="1:9" x14ac:dyDescent="0.25">
      <c r="A42">
        <v>201803</v>
      </c>
      <c r="B42">
        <v>-1.76</v>
      </c>
      <c r="C42">
        <v>1.2</v>
      </c>
      <c r="D42">
        <v>-0.42</v>
      </c>
      <c r="E42">
        <v>0.4</v>
      </c>
      <c r="F42">
        <v>-0.54</v>
      </c>
      <c r="G42">
        <v>0.12</v>
      </c>
      <c r="H42" s="7">
        <v>-2.449846</v>
      </c>
      <c r="I42" s="4">
        <f t="shared" si="0"/>
        <v>-2.5698460000000001</v>
      </c>
    </row>
    <row r="43" spans="1:9" x14ac:dyDescent="0.25">
      <c r="A43">
        <v>201804</v>
      </c>
      <c r="B43">
        <v>0.93</v>
      </c>
      <c r="C43">
        <v>-0.4</v>
      </c>
      <c r="D43">
        <v>1.78</v>
      </c>
      <c r="E43">
        <v>-1.54</v>
      </c>
      <c r="F43">
        <v>1.02</v>
      </c>
      <c r="G43">
        <v>0.14000000000000001</v>
      </c>
      <c r="H43" s="7">
        <v>2.2216870000000002</v>
      </c>
      <c r="I43" s="4">
        <f t="shared" si="0"/>
        <v>2.0816870000000001</v>
      </c>
    </row>
    <row r="44" spans="1:9" x14ac:dyDescent="0.25">
      <c r="A44">
        <v>201805</v>
      </c>
      <c r="B44">
        <v>0.49</v>
      </c>
      <c r="C44">
        <v>1.51</v>
      </c>
      <c r="D44">
        <v>-4.5199999999999996</v>
      </c>
      <c r="E44">
        <v>1.21</v>
      </c>
      <c r="F44">
        <v>-2.57</v>
      </c>
      <c r="G44">
        <v>0.14000000000000001</v>
      </c>
      <c r="H44" s="7">
        <v>-2.3950930000000001</v>
      </c>
      <c r="I44" s="4">
        <f t="shared" si="0"/>
        <v>-2.5350930000000003</v>
      </c>
    </row>
    <row r="45" spans="1:9" x14ac:dyDescent="0.25">
      <c r="A45">
        <v>201806</v>
      </c>
      <c r="B45">
        <v>-0.49</v>
      </c>
      <c r="C45">
        <v>-0.8</v>
      </c>
      <c r="D45">
        <v>-1.39</v>
      </c>
      <c r="E45">
        <v>0.44</v>
      </c>
      <c r="F45">
        <v>-0.08</v>
      </c>
      <c r="G45">
        <v>0.14000000000000001</v>
      </c>
      <c r="H45" s="7">
        <v>-2.0536180000000002</v>
      </c>
      <c r="I45" s="4">
        <f t="shared" si="0"/>
        <v>-2.1936180000000003</v>
      </c>
    </row>
    <row r="46" spans="1:9" x14ac:dyDescent="0.25">
      <c r="A46">
        <v>201807</v>
      </c>
      <c r="B46">
        <v>2.5299999999999998</v>
      </c>
      <c r="C46">
        <v>-2.48</v>
      </c>
      <c r="D46">
        <v>1.2</v>
      </c>
      <c r="E46">
        <v>-0.09</v>
      </c>
      <c r="F46">
        <v>0.25</v>
      </c>
      <c r="G46">
        <v>0.16</v>
      </c>
      <c r="H46" s="7">
        <v>2.742553</v>
      </c>
      <c r="I46" s="4">
        <f t="shared" si="0"/>
        <v>2.5825529999999999</v>
      </c>
    </row>
    <row r="47" spans="1:9" x14ac:dyDescent="0.25">
      <c r="A47">
        <v>201808</v>
      </c>
      <c r="B47">
        <v>0.86</v>
      </c>
      <c r="C47">
        <v>-0.71</v>
      </c>
      <c r="D47">
        <v>-4.1900000000000004</v>
      </c>
      <c r="E47">
        <v>1.2</v>
      </c>
      <c r="F47">
        <v>-2.61</v>
      </c>
      <c r="G47">
        <v>0.16</v>
      </c>
      <c r="H47" s="7">
        <v>-0.91688899999999995</v>
      </c>
      <c r="I47" s="4">
        <f t="shared" si="0"/>
        <v>-1.076889</v>
      </c>
    </row>
    <row r="48" spans="1:9" x14ac:dyDescent="0.25">
      <c r="A48">
        <v>201809</v>
      </c>
      <c r="B48">
        <v>0.32</v>
      </c>
      <c r="C48">
        <v>-1.43</v>
      </c>
      <c r="D48">
        <v>0.3</v>
      </c>
      <c r="E48">
        <v>0.16</v>
      </c>
      <c r="F48">
        <v>0.56999999999999995</v>
      </c>
      <c r="G48">
        <v>0.15</v>
      </c>
      <c r="H48" s="7">
        <v>1.7561070000000001</v>
      </c>
      <c r="I48" s="4">
        <f t="shared" si="0"/>
        <v>1.6061070000000002</v>
      </c>
    </row>
    <row r="49" spans="1:9" x14ac:dyDescent="0.25">
      <c r="A49">
        <v>201810</v>
      </c>
      <c r="B49">
        <v>-8.1999999999999993</v>
      </c>
      <c r="C49">
        <v>-2.2799999999999998</v>
      </c>
      <c r="D49">
        <v>2.4500000000000002</v>
      </c>
      <c r="E49">
        <v>0.28000000000000003</v>
      </c>
      <c r="F49">
        <v>2.31</v>
      </c>
      <c r="G49">
        <v>0.19</v>
      </c>
      <c r="H49" s="7">
        <v>-7.2680389999999999</v>
      </c>
      <c r="I49" s="4">
        <f t="shared" si="0"/>
        <v>-7.4580390000000003</v>
      </c>
    </row>
    <row r="50" spans="1:9" x14ac:dyDescent="0.25">
      <c r="A50">
        <v>201811</v>
      </c>
      <c r="B50">
        <v>0.88</v>
      </c>
      <c r="C50">
        <v>-0.62</v>
      </c>
      <c r="D50">
        <v>-1.21</v>
      </c>
      <c r="E50">
        <v>0.46</v>
      </c>
      <c r="F50">
        <v>0.08</v>
      </c>
      <c r="G50">
        <v>0.18</v>
      </c>
      <c r="H50" s="7">
        <v>0.40095199999999998</v>
      </c>
      <c r="I50" s="4">
        <f t="shared" si="0"/>
        <v>0.22095199999999998</v>
      </c>
    </row>
    <row r="51" spans="1:9" x14ac:dyDescent="0.25">
      <c r="A51">
        <v>201812</v>
      </c>
      <c r="B51">
        <v>-7.67</v>
      </c>
      <c r="C51">
        <v>-0.96</v>
      </c>
      <c r="D51">
        <v>0.56000000000000005</v>
      </c>
      <c r="E51">
        <v>-0.22</v>
      </c>
      <c r="F51">
        <v>0.13</v>
      </c>
      <c r="G51">
        <v>0.19</v>
      </c>
      <c r="H51" s="7">
        <v>-7.6514540000000002</v>
      </c>
      <c r="I51" s="4">
        <f t="shared" si="0"/>
        <v>-7.8414540000000006</v>
      </c>
    </row>
    <row r="52" spans="1:9" x14ac:dyDescent="0.25">
      <c r="A52">
        <v>201901</v>
      </c>
      <c r="B52">
        <v>7.47</v>
      </c>
      <c r="C52">
        <v>-0.14000000000000001</v>
      </c>
      <c r="D52">
        <v>-0.72</v>
      </c>
      <c r="E52">
        <v>0.15</v>
      </c>
      <c r="F52">
        <v>-1.18</v>
      </c>
      <c r="G52">
        <v>0.21</v>
      </c>
      <c r="H52" s="7">
        <v>8.6267420000000001</v>
      </c>
      <c r="I52" s="4">
        <f t="shared" si="0"/>
        <v>8.4167419999999993</v>
      </c>
    </row>
    <row r="53" spans="1:9" x14ac:dyDescent="0.25">
      <c r="A53">
        <v>201902</v>
      </c>
      <c r="B53">
        <v>2.94</v>
      </c>
      <c r="C53">
        <v>0.1</v>
      </c>
      <c r="D53">
        <v>-2.09</v>
      </c>
      <c r="E53">
        <v>0.21</v>
      </c>
      <c r="F53">
        <v>-0.93</v>
      </c>
      <c r="G53">
        <v>0.18</v>
      </c>
      <c r="H53" s="7">
        <v>0.90477600000000002</v>
      </c>
      <c r="I53" s="4">
        <f t="shared" si="0"/>
        <v>0.72477600000000009</v>
      </c>
    </row>
    <row r="54" spans="1:9" x14ac:dyDescent="0.25">
      <c r="A54">
        <v>201903</v>
      </c>
      <c r="B54">
        <v>0.76</v>
      </c>
      <c r="C54">
        <v>-2.08</v>
      </c>
      <c r="D54">
        <v>-3.28</v>
      </c>
      <c r="E54">
        <v>1.32</v>
      </c>
      <c r="F54">
        <v>-1.49</v>
      </c>
      <c r="G54">
        <v>0.19</v>
      </c>
      <c r="H54" s="7">
        <v>-0.62798100000000001</v>
      </c>
      <c r="I54" s="4">
        <f t="shared" si="0"/>
        <v>-0.81798100000000007</v>
      </c>
    </row>
    <row r="55" spans="1:9" x14ac:dyDescent="0.25">
      <c r="A55">
        <v>201904</v>
      </c>
      <c r="B55">
        <v>3.44</v>
      </c>
      <c r="C55">
        <v>-1.18</v>
      </c>
      <c r="D55">
        <v>-0.26</v>
      </c>
      <c r="E55">
        <v>0.8</v>
      </c>
      <c r="F55">
        <v>-1.0900000000000001</v>
      </c>
      <c r="G55">
        <v>0.21</v>
      </c>
      <c r="H55" s="7">
        <v>1.7790870000000001</v>
      </c>
      <c r="I55" s="4">
        <f t="shared" si="0"/>
        <v>1.5690870000000001</v>
      </c>
    </row>
    <row r="56" spans="1:9" x14ac:dyDescent="0.25">
      <c r="A56">
        <v>201905</v>
      </c>
      <c r="B56">
        <v>-5.99</v>
      </c>
      <c r="C56">
        <v>0.54</v>
      </c>
      <c r="D56">
        <v>-1.7</v>
      </c>
      <c r="E56">
        <v>0.45</v>
      </c>
      <c r="F56">
        <v>0.8</v>
      </c>
      <c r="G56">
        <v>0.21</v>
      </c>
      <c r="H56" s="7">
        <v>-8.0323130000000003</v>
      </c>
      <c r="I56" s="4">
        <f t="shared" si="0"/>
        <v>-8.2423130000000011</v>
      </c>
    </row>
    <row r="57" spans="1:9" x14ac:dyDescent="0.25">
      <c r="A57">
        <v>201906</v>
      </c>
      <c r="B57">
        <v>6.13</v>
      </c>
      <c r="C57">
        <v>-1.99</v>
      </c>
      <c r="D57">
        <v>-0.16</v>
      </c>
      <c r="E57">
        <v>0.43</v>
      </c>
      <c r="F57">
        <v>-0.02</v>
      </c>
      <c r="G57">
        <v>0.18</v>
      </c>
      <c r="H57" s="7">
        <v>6.844868</v>
      </c>
      <c r="I57" s="4">
        <f t="shared" si="0"/>
        <v>6.6648680000000002</v>
      </c>
    </row>
    <row r="58" spans="1:9" x14ac:dyDescent="0.25">
      <c r="A58">
        <v>201907</v>
      </c>
      <c r="B58">
        <v>-7.0000000000000007E-2</v>
      </c>
      <c r="C58">
        <v>-1.1299999999999999</v>
      </c>
      <c r="D58">
        <v>-0.67</v>
      </c>
      <c r="E58">
        <v>0.64</v>
      </c>
      <c r="F58">
        <v>-0.31</v>
      </c>
      <c r="G58">
        <v>0.19</v>
      </c>
      <c r="H58" s="7">
        <v>-0.35736899999999999</v>
      </c>
      <c r="I58" s="4">
        <f t="shared" si="0"/>
        <v>-0.54736899999999999</v>
      </c>
    </row>
    <row r="59" spans="1:9" x14ac:dyDescent="0.25">
      <c r="A59">
        <v>201908</v>
      </c>
      <c r="B59">
        <v>-2.5499999999999998</v>
      </c>
      <c r="C59">
        <v>-1.65</v>
      </c>
      <c r="D59">
        <v>-2.69</v>
      </c>
      <c r="E59">
        <v>1.19</v>
      </c>
      <c r="F59">
        <v>-0.19</v>
      </c>
      <c r="G59">
        <v>0.16</v>
      </c>
      <c r="H59" s="7">
        <v>-4.1100589999999997</v>
      </c>
      <c r="I59" s="4">
        <f t="shared" si="0"/>
        <v>-4.2700589999999998</v>
      </c>
    </row>
    <row r="60" spans="1:9" x14ac:dyDescent="0.25">
      <c r="A60">
        <v>201909</v>
      </c>
      <c r="B60">
        <v>1.9</v>
      </c>
      <c r="C60">
        <v>0.19</v>
      </c>
      <c r="D60">
        <v>4.16</v>
      </c>
      <c r="E60">
        <v>0.4</v>
      </c>
      <c r="F60">
        <v>2.15</v>
      </c>
      <c r="G60">
        <v>0.18</v>
      </c>
      <c r="H60" s="7">
        <v>4.743741</v>
      </c>
      <c r="I60" s="4">
        <f t="shared" si="0"/>
        <v>4.5637410000000003</v>
      </c>
    </row>
    <row r="61" spans="1:9" x14ac:dyDescent="0.25">
      <c r="A61">
        <v>201910</v>
      </c>
      <c r="B61">
        <v>2.56</v>
      </c>
      <c r="C61">
        <v>0.81</v>
      </c>
      <c r="D61">
        <v>-0.54</v>
      </c>
      <c r="E61">
        <v>0.96</v>
      </c>
      <c r="F61">
        <v>-0.73</v>
      </c>
      <c r="G61">
        <v>0.15</v>
      </c>
      <c r="H61" s="7">
        <v>3.881799</v>
      </c>
      <c r="I61" s="4">
        <f t="shared" si="0"/>
        <v>3.7317990000000001</v>
      </c>
    </row>
    <row r="62" spans="1:9" x14ac:dyDescent="0.25">
      <c r="A62">
        <v>201911</v>
      </c>
      <c r="B62">
        <v>2.74</v>
      </c>
      <c r="C62">
        <v>0.04</v>
      </c>
      <c r="D62">
        <v>-2.2400000000000002</v>
      </c>
      <c r="E62">
        <v>-0.1</v>
      </c>
      <c r="F62">
        <v>-1.19</v>
      </c>
      <c r="G62">
        <v>0.12</v>
      </c>
      <c r="H62" s="7">
        <v>1.8750169999999999</v>
      </c>
      <c r="I62" s="4">
        <f t="shared" si="0"/>
        <v>1.755017</v>
      </c>
    </row>
    <row r="63" spans="1:9" x14ac:dyDescent="0.25">
      <c r="A63">
        <v>201912</v>
      </c>
      <c r="B63">
        <v>3.05</v>
      </c>
      <c r="C63">
        <v>1.33</v>
      </c>
      <c r="D63">
        <v>0.63</v>
      </c>
      <c r="E63">
        <v>-0.32</v>
      </c>
      <c r="F63">
        <v>0.48</v>
      </c>
      <c r="G63">
        <v>0.14000000000000001</v>
      </c>
      <c r="H63" s="7">
        <v>3.2533940000000001</v>
      </c>
      <c r="I63" s="4">
        <f t="shared" si="0"/>
        <v>3.113394</v>
      </c>
    </row>
    <row r="64" spans="1:9" x14ac:dyDescent="0.25">
      <c r="A64">
        <v>202001</v>
      </c>
      <c r="B64">
        <v>-1.2</v>
      </c>
      <c r="C64">
        <v>-2.77</v>
      </c>
      <c r="D64">
        <v>-4.3600000000000003</v>
      </c>
      <c r="E64">
        <v>0.08</v>
      </c>
      <c r="F64">
        <v>-1.94</v>
      </c>
      <c r="G64">
        <v>0.13</v>
      </c>
      <c r="H64" s="7">
        <v>-3.4739659999999999</v>
      </c>
      <c r="I64" s="4">
        <f t="shared" si="0"/>
        <v>-3.6039659999999998</v>
      </c>
    </row>
    <row r="65" spans="1:9" x14ac:dyDescent="0.25">
      <c r="A65">
        <v>202002</v>
      </c>
      <c r="B65">
        <v>-8.5299999999999994</v>
      </c>
      <c r="C65">
        <v>-1.52</v>
      </c>
      <c r="D65">
        <v>-1.06</v>
      </c>
      <c r="E65">
        <v>-1.1599999999999999</v>
      </c>
      <c r="F65">
        <v>-1.7</v>
      </c>
      <c r="G65">
        <v>0.12</v>
      </c>
      <c r="H65" s="7">
        <v>-9.3221419999999995</v>
      </c>
      <c r="I65" s="4">
        <f t="shared" si="0"/>
        <v>-9.4421419999999987</v>
      </c>
    </row>
    <row r="66" spans="1:9" x14ac:dyDescent="0.25">
      <c r="A66">
        <v>202003</v>
      </c>
      <c r="B66">
        <v>-13.77</v>
      </c>
      <c r="C66">
        <v>-4.43</v>
      </c>
      <c r="D66">
        <v>-9.2100000000000009</v>
      </c>
      <c r="E66">
        <v>1.47</v>
      </c>
      <c r="F66">
        <v>-0.86</v>
      </c>
      <c r="G66">
        <v>0.12</v>
      </c>
      <c r="H66" s="7">
        <v>-16.353822000000001</v>
      </c>
      <c r="I66" s="4">
        <f t="shared" si="0"/>
        <v>-16.473822000000002</v>
      </c>
    </row>
    <row r="67" spans="1:9" x14ac:dyDescent="0.25">
      <c r="A67">
        <v>202004</v>
      </c>
      <c r="B67">
        <v>10.68</v>
      </c>
      <c r="C67">
        <v>1.76</v>
      </c>
      <c r="D67">
        <v>-4.62</v>
      </c>
      <c r="E67">
        <v>2.66</v>
      </c>
      <c r="F67">
        <v>-2.98</v>
      </c>
      <c r="G67">
        <v>0</v>
      </c>
      <c r="H67" s="7">
        <v>7.210979</v>
      </c>
      <c r="I67" s="4">
        <f t="shared" ref="I67:I71" si="1">H67-G67</f>
        <v>7.210979</v>
      </c>
    </row>
    <row r="68" spans="1:9" x14ac:dyDescent="0.25">
      <c r="A68">
        <v>202005</v>
      </c>
      <c r="B68">
        <v>5.3</v>
      </c>
      <c r="C68">
        <v>2.02</v>
      </c>
      <c r="D68">
        <v>-5.0999999999999996</v>
      </c>
      <c r="E68">
        <v>1.93</v>
      </c>
      <c r="F68">
        <v>-3.17</v>
      </c>
      <c r="G68">
        <v>0.01</v>
      </c>
      <c r="H68" s="7">
        <v>2.9780120000000001</v>
      </c>
      <c r="I68" s="4">
        <f t="shared" si="1"/>
        <v>2.9680120000000003</v>
      </c>
    </row>
    <row r="69" spans="1:9" x14ac:dyDescent="0.25">
      <c r="A69">
        <v>202006</v>
      </c>
      <c r="B69">
        <v>2.76</v>
      </c>
      <c r="C69">
        <v>-0.04</v>
      </c>
      <c r="D69">
        <v>-1.74</v>
      </c>
      <c r="E69">
        <v>-0.08</v>
      </c>
      <c r="F69">
        <v>-0.68</v>
      </c>
      <c r="G69">
        <v>0.01</v>
      </c>
      <c r="H69" s="7">
        <v>0.64921300000000004</v>
      </c>
      <c r="I69" s="4">
        <f t="shared" si="1"/>
        <v>0.63921300000000003</v>
      </c>
    </row>
    <row r="70" spans="1:9" x14ac:dyDescent="0.25">
      <c r="A70">
        <v>202007</v>
      </c>
      <c r="B70">
        <v>4.33</v>
      </c>
      <c r="C70">
        <v>-1.77</v>
      </c>
      <c r="D70">
        <v>-3.65</v>
      </c>
      <c r="E70">
        <v>1.31</v>
      </c>
      <c r="F70">
        <v>-1.22</v>
      </c>
      <c r="G70">
        <v>0.01</v>
      </c>
      <c r="H70" s="7">
        <v>-1.92683</v>
      </c>
      <c r="I70" s="4">
        <f t="shared" si="1"/>
        <v>-1.9368300000000001</v>
      </c>
    </row>
    <row r="71" spans="1:9" x14ac:dyDescent="0.25">
      <c r="A71">
        <v>202008</v>
      </c>
      <c r="B71">
        <v>6.83</v>
      </c>
      <c r="C71">
        <v>0.99</v>
      </c>
      <c r="D71">
        <v>-3.87</v>
      </c>
      <c r="E71">
        <v>2.29</v>
      </c>
      <c r="F71">
        <v>-1.53</v>
      </c>
      <c r="G71">
        <v>0.01</v>
      </c>
      <c r="H71" s="7">
        <v>5.464963</v>
      </c>
      <c r="I71" s="4">
        <f t="shared" si="1"/>
        <v>5.4549630000000002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Developed_5_Factors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modified xsi:type="dcterms:W3CDTF">2020-11-15T13:49:09Z</dcterms:modified>
</cp:coreProperties>
</file>