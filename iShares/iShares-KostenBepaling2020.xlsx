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IndexFondsen\KeuzeWelkIndexFonds\OnderzoekPerFonds\iShares\"/>
    </mc:Choice>
  </mc:AlternateContent>
  <xr:revisionPtr revIDLastSave="0" documentId="13_ncr:1_{B9DFDCBB-3BE0-4C2D-A4F0-228EBBA4B69D}" xr6:coauthVersionLast="45" xr6:coauthVersionMax="45" xr10:uidLastSave="{00000000-0000-0000-0000-000000000000}"/>
  <bookViews>
    <workbookView xWindow="-120" yWindow="-120" windowWidth="51840" windowHeight="21240" activeTab="1" xr2:uid="{00000000-000D-0000-FFFF-FFFF00000000}"/>
  </bookViews>
  <sheets>
    <sheet name="Aanames" sheetId="6" r:id="rId1"/>
    <sheet name="Totaal" sheetId="8" r:id="rId2"/>
    <sheet name="IWDA" sheetId="1" r:id="rId3"/>
    <sheet name="EMIM" sheetId="4" r:id="rId4"/>
    <sheet name="IEMS" sheetId="2" r:id="rId5"/>
    <sheet name="IUSN" sheetId="3" r:id="rId6"/>
    <sheet name="IEMM" sheetId="9" r:id="rId7"/>
    <sheet name="IEMA" sheetId="11" r:id="rId8"/>
    <sheet name="IWVL" sheetId="12" r:id="rId9"/>
    <sheet name="TrackingDifference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2" l="1"/>
  <c r="B30" i="4"/>
  <c r="B28" i="4"/>
  <c r="B31" i="1"/>
  <c r="B29" i="1"/>
  <c r="B14" i="1" l="1"/>
  <c r="D14" i="1"/>
  <c r="E14" i="1"/>
  <c r="F14" i="1"/>
  <c r="G14" i="1"/>
  <c r="C14" i="1"/>
  <c r="H12" i="2" l="1"/>
  <c r="G21" i="12" l="1"/>
  <c r="G17" i="12"/>
  <c r="G14" i="12"/>
  <c r="G13" i="12"/>
  <c r="G12" i="12"/>
  <c r="G7" i="12"/>
  <c r="M47" i="5"/>
  <c r="L46" i="5"/>
  <c r="B26" i="12" s="1"/>
  <c r="B18" i="12"/>
  <c r="F47" i="5"/>
  <c r="G47" i="5"/>
  <c r="H47" i="5"/>
  <c r="I47" i="5"/>
  <c r="E47" i="5"/>
  <c r="F46" i="5"/>
  <c r="G46" i="5"/>
  <c r="H46" i="5"/>
  <c r="I46" i="5"/>
  <c r="E46" i="5"/>
  <c r="F12" i="12" l="1"/>
  <c r="E12" i="12"/>
  <c r="D12" i="12"/>
  <c r="C12" i="12"/>
  <c r="B12" i="12"/>
  <c r="F8" i="12"/>
  <c r="E8" i="12"/>
  <c r="D8" i="12"/>
  <c r="C8" i="12"/>
  <c r="B8" i="12"/>
  <c r="C13" i="12" l="1"/>
  <c r="C14" i="12"/>
  <c r="D21" i="12"/>
  <c r="D14" i="12"/>
  <c r="E13" i="12"/>
  <c r="E14" i="12"/>
  <c r="B17" i="12"/>
  <c r="B14" i="12"/>
  <c r="F17" i="12"/>
  <c r="F14" i="12"/>
  <c r="F21" i="12"/>
  <c r="B13" i="12"/>
  <c r="B21" i="12"/>
  <c r="F13" i="12"/>
  <c r="C17" i="12"/>
  <c r="D17" i="12"/>
  <c r="D13" i="12"/>
  <c r="E17" i="12"/>
  <c r="C21" i="12"/>
  <c r="B29" i="3"/>
  <c r="D23" i="8"/>
  <c r="B28" i="9"/>
  <c r="F21" i="8"/>
  <c r="C21" i="8"/>
  <c r="B28" i="11"/>
  <c r="D17" i="11"/>
  <c r="C17" i="11"/>
  <c r="B17" i="11"/>
  <c r="F40" i="5"/>
  <c r="G40" i="5"/>
  <c r="H40" i="5"/>
  <c r="I40" i="5"/>
  <c r="E40" i="5"/>
  <c r="F39" i="5"/>
  <c r="G39" i="5"/>
  <c r="H39" i="5"/>
  <c r="L39" i="5" s="1"/>
  <c r="B25" i="11" s="1"/>
  <c r="I39" i="5"/>
  <c r="E39" i="5"/>
  <c r="G12" i="11"/>
  <c r="F12" i="11"/>
  <c r="E12" i="11"/>
  <c r="D12" i="11"/>
  <c r="C12" i="11"/>
  <c r="B12" i="11"/>
  <c r="G8" i="11"/>
  <c r="G13" i="11" s="1"/>
  <c r="F8" i="11"/>
  <c r="F16" i="11" s="1"/>
  <c r="E8" i="11"/>
  <c r="E13" i="11" s="1"/>
  <c r="D8" i="11"/>
  <c r="D20" i="11" s="1"/>
  <c r="C8" i="11"/>
  <c r="C13" i="11" s="1"/>
  <c r="B8" i="11"/>
  <c r="B16" i="11" s="1"/>
  <c r="H7" i="11"/>
  <c r="M40" i="5" l="1"/>
  <c r="H12" i="11"/>
  <c r="F13" i="11"/>
  <c r="B20" i="11"/>
  <c r="E20" i="11"/>
  <c r="F20" i="11"/>
  <c r="B13" i="11"/>
  <c r="C20" i="11"/>
  <c r="G20" i="11"/>
  <c r="C16" i="11"/>
  <c r="G16" i="11"/>
  <c r="D16" i="11"/>
  <c r="D13" i="11"/>
  <c r="E16" i="11"/>
  <c r="C20" i="8"/>
  <c r="F20" i="8"/>
  <c r="H12" i="9"/>
  <c r="D17" i="9"/>
  <c r="C17" i="9"/>
  <c r="B17" i="9"/>
  <c r="J29" i="5"/>
  <c r="F33" i="5"/>
  <c r="G33" i="5"/>
  <c r="H33" i="5"/>
  <c r="I33" i="5"/>
  <c r="E33" i="5"/>
  <c r="E32" i="5"/>
  <c r="F32" i="5"/>
  <c r="G32" i="5"/>
  <c r="H32" i="5"/>
  <c r="I32" i="5"/>
  <c r="G12" i="9"/>
  <c r="F12" i="9"/>
  <c r="E12" i="9"/>
  <c r="D12" i="9"/>
  <c r="C12" i="9"/>
  <c r="B12" i="9"/>
  <c r="G8" i="9"/>
  <c r="G13" i="9" s="1"/>
  <c r="F8" i="9"/>
  <c r="F20" i="9" s="1"/>
  <c r="E8" i="9"/>
  <c r="E20" i="9" s="1"/>
  <c r="D8" i="9"/>
  <c r="D16" i="9" s="1"/>
  <c r="C8" i="9"/>
  <c r="C13" i="9" s="1"/>
  <c r="B8" i="9"/>
  <c r="B20" i="9" s="1"/>
  <c r="H7" i="9"/>
  <c r="F23" i="8"/>
  <c r="D12" i="3"/>
  <c r="F22" i="8"/>
  <c r="E23" i="8"/>
  <c r="C23" i="8"/>
  <c r="C22" i="8"/>
  <c r="L32" i="5" l="1"/>
  <c r="B25" i="9" s="1"/>
  <c r="M33" i="5"/>
  <c r="B25" i="12"/>
  <c r="B27" i="12" s="1"/>
  <c r="H13" i="11"/>
  <c r="H16" i="11"/>
  <c r="H20" i="11"/>
  <c r="D13" i="9"/>
  <c r="E16" i="9"/>
  <c r="C20" i="9"/>
  <c r="G20" i="9"/>
  <c r="E13" i="9"/>
  <c r="B16" i="9"/>
  <c r="F16" i="9"/>
  <c r="D20" i="9"/>
  <c r="B13" i="9"/>
  <c r="F13" i="9"/>
  <c r="C16" i="9"/>
  <c r="G16" i="9"/>
  <c r="B31" i="3"/>
  <c r="J9" i="5"/>
  <c r="J22" i="5"/>
  <c r="J2" i="5"/>
  <c r="H7" i="2"/>
  <c r="F26" i="5"/>
  <c r="G26" i="5"/>
  <c r="H26" i="5"/>
  <c r="I26" i="5"/>
  <c r="E26" i="5"/>
  <c r="E25" i="5"/>
  <c r="F25" i="5"/>
  <c r="G25" i="5"/>
  <c r="H25" i="5"/>
  <c r="I25" i="5"/>
  <c r="B30" i="12" l="1"/>
  <c r="B32" i="12" s="1"/>
  <c r="M26" i="5"/>
  <c r="L25" i="5"/>
  <c r="B25" i="2" s="1"/>
  <c r="B24" i="11"/>
  <c r="B26" i="11" s="1"/>
  <c r="H13" i="9"/>
  <c r="H20" i="9"/>
  <c r="H16" i="9"/>
  <c r="B29" i="11" l="1"/>
  <c r="B31" i="11" s="1"/>
  <c r="E21" i="8" s="1"/>
  <c r="B24" i="9"/>
  <c r="B26" i="9" s="1"/>
  <c r="C17" i="4"/>
  <c r="B17" i="4"/>
  <c r="C17" i="2"/>
  <c r="B17" i="2"/>
  <c r="B18" i="1"/>
  <c r="C18" i="1"/>
  <c r="D17" i="2"/>
  <c r="D18" i="1"/>
  <c r="B29" i="9" l="1"/>
  <c r="B31" i="9" s="1"/>
  <c r="E20" i="8" s="1"/>
  <c r="B8" i="1"/>
  <c r="C8" i="1"/>
  <c r="D8" i="1"/>
  <c r="D36" i="1" s="1"/>
  <c r="E8" i="1"/>
  <c r="E36" i="1" s="1"/>
  <c r="F8" i="1"/>
  <c r="F36" i="1" s="1"/>
  <c r="G8" i="1"/>
  <c r="G36" i="1" s="1"/>
  <c r="B28" i="3" l="1"/>
  <c r="B24" i="3"/>
  <c r="G7" i="4" l="1"/>
  <c r="I19" i="5" l="1"/>
  <c r="L19" i="5" s="1"/>
  <c r="I13" i="5"/>
  <c r="H13" i="5"/>
  <c r="G13" i="5"/>
  <c r="F13" i="5"/>
  <c r="E13" i="5"/>
  <c r="I12" i="5"/>
  <c r="H12" i="5"/>
  <c r="G12" i="5"/>
  <c r="F12" i="5"/>
  <c r="E12" i="5"/>
  <c r="I6" i="5"/>
  <c r="H6" i="5"/>
  <c r="G6" i="5"/>
  <c r="F6" i="5"/>
  <c r="E6" i="5"/>
  <c r="D6" i="5"/>
  <c r="I5" i="5"/>
  <c r="H5" i="5"/>
  <c r="G5" i="5"/>
  <c r="F5" i="5"/>
  <c r="E5" i="5"/>
  <c r="D5" i="5"/>
  <c r="L12" i="5" l="1"/>
  <c r="B25" i="4" s="1"/>
  <c r="M13" i="5"/>
  <c r="L5" i="5"/>
  <c r="B26" i="1" s="1"/>
  <c r="M6" i="5"/>
  <c r="H7" i="1" l="1"/>
  <c r="D7" i="3" l="1"/>
  <c r="C12" i="3"/>
  <c r="B12" i="3"/>
  <c r="C8" i="3"/>
  <c r="B8" i="3"/>
  <c r="B16" i="3" l="1"/>
  <c r="B13" i="3"/>
  <c r="C16" i="3"/>
  <c r="C13" i="3"/>
  <c r="C20" i="3"/>
  <c r="B20" i="3"/>
  <c r="C11" i="2"/>
  <c r="C12" i="2" s="1"/>
  <c r="F12" i="4"/>
  <c r="E12" i="4"/>
  <c r="D12" i="4"/>
  <c r="C12" i="4"/>
  <c r="B12" i="4"/>
  <c r="G12" i="4" s="1"/>
  <c r="F19" i="8" s="1"/>
  <c r="F8" i="4"/>
  <c r="F36" i="4" s="1"/>
  <c r="E8" i="4"/>
  <c r="E36" i="4" s="1"/>
  <c r="D8" i="4"/>
  <c r="D36" i="4" s="1"/>
  <c r="C8" i="4"/>
  <c r="C36" i="4" s="1"/>
  <c r="B8" i="4"/>
  <c r="D12" i="2"/>
  <c r="E12" i="2"/>
  <c r="F12" i="2"/>
  <c r="G12" i="2"/>
  <c r="C8" i="2"/>
  <c r="C20" i="2" s="1"/>
  <c r="D8" i="2"/>
  <c r="E8" i="2"/>
  <c r="F8" i="2"/>
  <c r="G8" i="2"/>
  <c r="C12" i="1"/>
  <c r="D12" i="1"/>
  <c r="E12" i="1"/>
  <c r="F12" i="1"/>
  <c r="G12" i="1"/>
  <c r="B12" i="1"/>
  <c r="H12" i="1" s="1"/>
  <c r="F18" i="8" s="1"/>
  <c r="B12" i="2"/>
  <c r="B8" i="2"/>
  <c r="C32" i="8" l="1"/>
  <c r="D16" i="3"/>
  <c r="D13" i="3"/>
  <c r="C20" i="4"/>
  <c r="C16" i="4"/>
  <c r="C13" i="4"/>
  <c r="D20" i="4"/>
  <c r="D16" i="4"/>
  <c r="D13" i="4"/>
  <c r="E16" i="4"/>
  <c r="E13" i="4"/>
  <c r="B20" i="4"/>
  <c r="B16" i="4"/>
  <c r="B13" i="4"/>
  <c r="F20" i="4"/>
  <c r="F13" i="4"/>
  <c r="F16" i="4"/>
  <c r="D20" i="3"/>
  <c r="C16" i="2"/>
  <c r="E20" i="2"/>
  <c r="E13" i="2"/>
  <c r="B20" i="2"/>
  <c r="B13" i="2"/>
  <c r="D20" i="2"/>
  <c r="H20" i="2" s="1"/>
  <c r="D13" i="2"/>
  <c r="G20" i="2"/>
  <c r="G13" i="2"/>
  <c r="C13" i="2"/>
  <c r="H13" i="2" s="1"/>
  <c r="D16" i="2"/>
  <c r="F20" i="2"/>
  <c r="F13" i="2"/>
  <c r="B16" i="2"/>
  <c r="F17" i="1"/>
  <c r="F13" i="1"/>
  <c r="D21" i="1"/>
  <c r="D13" i="1"/>
  <c r="E17" i="1"/>
  <c r="E13" i="1"/>
  <c r="G21" i="1"/>
  <c r="G13" i="1"/>
  <c r="C21" i="1"/>
  <c r="C13" i="1"/>
  <c r="C17" i="1"/>
  <c r="G17" i="1"/>
  <c r="G16" i="2"/>
  <c r="F16" i="2"/>
  <c r="E16" i="2"/>
  <c r="F21" i="1"/>
  <c r="E21" i="1"/>
  <c r="D17" i="1"/>
  <c r="B28" i="2" l="1"/>
  <c r="H16" i="2"/>
  <c r="B24" i="2" s="1"/>
  <c r="B26" i="2" s="1"/>
  <c r="G20" i="4"/>
  <c r="G16" i="4"/>
  <c r="D19" i="8" s="1"/>
  <c r="G13" i="4"/>
  <c r="B13" i="1"/>
  <c r="H13" i="1" s="1"/>
  <c r="B17" i="1"/>
  <c r="H17" i="1" s="1"/>
  <c r="B21" i="1"/>
  <c r="H21" i="1" s="1"/>
  <c r="C18" i="8" l="1"/>
  <c r="D18" i="8"/>
  <c r="C31" i="8" s="1"/>
  <c r="C33" i="8" s="1"/>
  <c r="B29" i="2"/>
  <c r="B31" i="2" s="1"/>
  <c r="E22" i="8" s="1"/>
  <c r="C19" i="8"/>
  <c r="B24" i="4"/>
  <c r="B26" i="4" s="1"/>
  <c r="B25" i="1"/>
  <c r="B27" i="1" s="1"/>
  <c r="C27" i="8" l="1"/>
  <c r="B29" i="4"/>
  <c r="B32" i="4" s="1"/>
  <c r="E19" i="8" s="1"/>
  <c r="B30" i="1"/>
  <c r="B33" i="1" s="1"/>
  <c r="E18" i="8" s="1"/>
  <c r="C2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tc={475E6311-0448-49A0-9829-FF385283029D}</author>
  </authors>
  <commentList>
    <comment ref="A7" authorId="0" shapeId="0" xr:uid="{475E6311-0448-49A0-9829-FF385283029D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6. OPERATING EXPENSES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L1" authorId="0" shapeId="0" xr:uid="{BC3B4BF2-0E46-4EF7-A78C-8FC9B39EDDF8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M1" authorId="0" shapeId="0" xr:uid="{4A660686-6E86-4023-9ACD-41E13C92ACF2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Outperformance Netto Index</t>
        </r>
      </text>
    </comment>
  </commentList>
</comments>
</file>

<file path=xl/sharedStrings.xml><?xml version="1.0" encoding="utf-8"?>
<sst xmlns="http://schemas.openxmlformats.org/spreadsheetml/2006/main" count="304" uniqueCount="137">
  <si>
    <t>Transaction costs</t>
  </si>
  <si>
    <t>% transactie kosten</t>
  </si>
  <si>
    <t>Gemiddelde</t>
  </si>
  <si>
    <t>Schatting kosten toekomst</t>
  </si>
  <si>
    <t>Aannames</t>
  </si>
  <si>
    <t>Wat valt op</t>
  </si>
  <si>
    <t>iShares Core MSCI World (IWDA)</t>
  </si>
  <si>
    <t>Dividend income</t>
  </si>
  <si>
    <t>Securities lending income</t>
  </si>
  <si>
    <t>Taxation</t>
  </si>
  <si>
    <t>Dividend lek</t>
  </si>
  <si>
    <t>Operating expense (TER)</t>
  </si>
  <si>
    <t>Net asset value einde boekjaar</t>
  </si>
  <si>
    <t>TER gemeld</t>
  </si>
  <si>
    <t>"Dividend income" is bruto dividend. Denk dit omdat de belasting op de winst/verlies gewoon bij verlies is opgenomen.</t>
  </si>
  <si>
    <t>iShares MSCI Emerging Markets Small Cap UCITS ETF</t>
  </si>
  <si>
    <t>Gemiddeld vermogen</t>
  </si>
  <si>
    <t>Helaas gemiddelde vermogen niet los te vinden via turnover oid</t>
  </si>
  <si>
    <t>Alles is x1000 wat hier aan cijfers staat</t>
  </si>
  <si>
    <t>09-2009 gestart</t>
  </si>
  <si>
    <t>03-2009 gestart</t>
  </si>
  <si>
    <t>% lending income</t>
  </si>
  <si>
    <t>03-2018 gestart</t>
  </si>
  <si>
    <t>iShares MSCI World Small Cap UCITS ETF</t>
  </si>
  <si>
    <t>Lek vrij consistent</t>
  </si>
  <si>
    <t>Lending income beperkt</t>
  </si>
  <si>
    <t>Transactiekosten zaken steeds verder naarmate vermogen toeneemt</t>
  </si>
  <si>
    <t>Gat met kosten benadering</t>
  </si>
  <si>
    <t>% dividend lek</t>
  </si>
  <si>
    <t>Lending income hoog</t>
  </si>
  <si>
    <t>TER blijft hoog</t>
  </si>
  <si>
    <t>Nieuw, benieuwd naar 2020 cijfers</t>
  </si>
  <si>
    <t>Optimized selectie, maar heeft 1611/1637 posities</t>
  </si>
  <si>
    <t>Optimized selectie, maar heeft 1595/1640 posities</t>
  </si>
  <si>
    <t>05-2014 gestart</t>
  </si>
  <si>
    <t>2018 transactiekosten staan niet in jaarverslag</t>
  </si>
  <si>
    <t>Rente kosten neem ik niet mee, meestal weinig. En ook weer rente inkomsten.</t>
  </si>
  <si>
    <t>Dividend lek%</t>
  </si>
  <si>
    <t>iShares Core MSCI Emering Markets IMI UCITS ETF</t>
  </si>
  <si>
    <t>Mifid template 7130 ex ante transaction costs (0,01%) matched niet echt</t>
  </si>
  <si>
    <t>2x per jaar dividend, dus hier zal wat cash drag aanvullend op zitten</t>
  </si>
  <si>
    <t>Accumulerend, geen/weinig cash drag</t>
  </si>
  <si>
    <t>Waarom is deze wel goedkoper geworden en IWDA niet?</t>
  </si>
  <si>
    <t>Kosten benadering gem verleden</t>
  </si>
  <si>
    <t>Kosten benadering verleden</t>
  </si>
  <si>
    <t>Tracking difference</t>
  </si>
  <si>
    <t>2015-2019</t>
  </si>
  <si>
    <t>iShares IWDA</t>
  </si>
  <si>
    <t>MSCI WORLD INDEX (USD) gross</t>
  </si>
  <si>
    <t>MSCI WORLD INDEX (USD) NET</t>
  </si>
  <si>
    <t>Vs gross</t>
  </si>
  <si>
    <t>Vs net</t>
  </si>
  <si>
    <t>iShares EMIM</t>
  </si>
  <si>
    <t>MSCI EMERGING MARKETS IMI (USD) GROSS</t>
  </si>
  <si>
    <t>MSCI EMERGING MARKETS IMI (USD) NET</t>
  </si>
  <si>
    <t>Netto index</t>
  </si>
  <si>
    <t>Bruto index</t>
  </si>
  <si>
    <t>iShares IUSN</t>
  </si>
  <si>
    <t>TD</t>
  </si>
  <si>
    <t>OPNI</t>
  </si>
  <si>
    <t>optimized selectie zit er naast</t>
  </si>
  <si>
    <t>De TER gaat weinig omlaag ook al neemt het vermogen fors toe</t>
  </si>
  <si>
    <t>Gemiddeld vermogen via TER (operation expense) teruggerekend</t>
  </si>
  <si>
    <t>4 basispunten er naast maar, niet onaardig</t>
  </si>
  <si>
    <t>6 basispunten er naast maar, niet onaardig</t>
  </si>
  <si>
    <t>Optimized selectie, heeft 3303/4263 posities dus tracking diff bekijken geen nut</t>
  </si>
  <si>
    <t>wel gek dat ik meer kosten vind als de tracking difference</t>
  </si>
  <si>
    <t>Tracking diff toekomst</t>
  </si>
  <si>
    <t>MSCI ACWI IMI</t>
  </si>
  <si>
    <t>MSCI World</t>
  </si>
  <si>
    <t>MSCI World SC</t>
  </si>
  <si>
    <t>MSCI Emerging</t>
  </si>
  <si>
    <t>EM small caps</t>
  </si>
  <si>
    <t>cross check</t>
  </si>
  <si>
    <t>MSCI ACWI IMI - EM Small</t>
  </si>
  <si>
    <t>World + Emerging</t>
  </si>
  <si>
    <t>Verschil kosten toekomst en verleden</t>
  </si>
  <si>
    <t>Derivatives</t>
  </si>
  <si>
    <t>Securities on loan</t>
  </si>
  <si>
    <t>Interest income</t>
  </si>
  <si>
    <t>% interest income</t>
  </si>
  <si>
    <t>Rente inkomsten zijn voor IWDA en EMIM tijdens 2016-2019 meestal hoger dan de kosten</t>
  </si>
  <si>
    <t>Als proef bij IWDA en EMIM rente inkomsten los bekeken, maar inkomsten zijn zeer beperkt</t>
  </si>
  <si>
    <t>2019: During the financial year the TER of this Fund changed from 0.25% to 0.18%. The annualised TER for the year is 0.20%</t>
  </si>
  <si>
    <t>Optimized selectie, heeft 2663/2941 posities</t>
  </si>
  <si>
    <t>iShares IEMS</t>
  </si>
  <si>
    <t>2014-2019</t>
  </si>
  <si>
    <t>Gemiddelde (2015-2019)</t>
  </si>
  <si>
    <t>Dividend lek wisselt nogal</t>
  </si>
  <si>
    <t>komt door benadering gemiddeld fonds vermogen of omdat lending inkomsten meteen worden belegt</t>
  </si>
  <si>
    <t>laatste lijkt logischer, hoe meer lending inkomsten per fonds hoe groter het verschil is wat ik vind</t>
  </si>
  <si>
    <t>deze is de meest extreme</t>
  </si>
  <si>
    <t>Gem performance</t>
  </si>
  <si>
    <t>Vermogen loopt wat terug. Wel nog boven de 200 miljoen grens.</t>
  </si>
  <si>
    <t>Gok TD toekomst</t>
  </si>
  <si>
    <t>Kosten</t>
  </si>
  <si>
    <t>Toekomst</t>
  </si>
  <si>
    <t>Lek</t>
  </si>
  <si>
    <t>IWDA + EMIM + IUSN</t>
  </si>
  <si>
    <t>iShares MSCI EM UCITS ETF USD (Dist)</t>
  </si>
  <si>
    <t>iShares IEMM</t>
  </si>
  <si>
    <t>TER nu 0,18%</t>
  </si>
  <si>
    <t>TD en kosten match spot on, misschien door niet Acc</t>
  </si>
  <si>
    <t>11-2005 gestart</t>
  </si>
  <si>
    <t>iShares MSCI EM UCITS ETF USD (Acc)</t>
  </si>
  <si>
    <t>iShares IEMA</t>
  </si>
  <si>
    <t>EMIM (EM IMI)</t>
  </si>
  <si>
    <t>IEMM (EM Dist)</t>
  </si>
  <si>
    <t>IEMA (EM Acc)</t>
  </si>
  <si>
    <t>IWDA (Dev world)</t>
  </si>
  <si>
    <t>IEMS (EM Small)</t>
  </si>
  <si>
    <t>IUSN (Dev world small)</t>
  </si>
  <si>
    <t>Kosten toekomst zonder lek</t>
  </si>
  <si>
    <t>Kosten met lek</t>
  </si>
  <si>
    <t>Kosten zonder lek</t>
  </si>
  <si>
    <t>Gem dividend lek</t>
  </si>
  <si>
    <t>IWDA + EMIM + IUSN 2,5% dividend</t>
  </si>
  <si>
    <t>Kosten totaal</t>
  </si>
  <si>
    <t>+</t>
  </si>
  <si>
    <t>Optimized selectie, heeft 1175/1383 posities</t>
  </si>
  <si>
    <t>Optimized selectie, heeft 902/1383 posities</t>
  </si>
  <si>
    <t>iShares Edge MSCI World Value Factor UCITS ETF</t>
  </si>
  <si>
    <t>10-2014 gestart</t>
  </si>
  <si>
    <t>Optimized selectie, heeft 395/400 posities</t>
  </si>
  <si>
    <t>iShares IWVL</t>
  </si>
  <si>
    <t>MSCI World Enhanced Value Index (USD) gross</t>
  </si>
  <si>
    <t>MSCI World Enhanced Value Index (USD) NET</t>
  </si>
  <si>
    <t>boekjaar loopt tot eind mei van het jaar</t>
  </si>
  <si>
    <t>% dividend</t>
  </si>
  <si>
    <t>Transactiekosten 2018 niet te vinden</t>
  </si>
  <si>
    <t>2015 startjaar?</t>
  </si>
  <si>
    <t>2016-2019</t>
  </si>
  <si>
    <t>Gemiddelde (2016-2019)</t>
  </si>
  <si>
    <t>Dividend</t>
  </si>
  <si>
    <t>Cap</t>
  </si>
  <si>
    <t>Market cap %</t>
  </si>
  <si>
    <t>Lek wat lager, dividend wat hoger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</si>
</sst>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&quot;€&quot;\ * #,##0_ ;_ &quot;€&quot;\ * \-#,##0_ ;_ &quot;€&quot;\ * &quot;-&quot;??_ ;_ @_ "/>
    <numFmt numFmtId="165" formatCode="0.000%"/>
    <numFmt numFmtId="166" formatCode="0.0%"/>
    <numFmt numFmtId="167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/>
    <xf numFmtId="10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2" borderId="0" xfId="0" applyFont="1" applyFill="1"/>
    <xf numFmtId="0" fontId="2" fillId="2" borderId="0" xfId="0" applyFont="1" applyFill="1"/>
    <xf numFmtId="164" fontId="0" fillId="0" borderId="0" xfId="2" applyNumberFormat="1" applyFont="1"/>
    <xf numFmtId="165" fontId="2" fillId="0" borderId="0" xfId="0" applyNumberFormat="1" applyFont="1"/>
    <xf numFmtId="165" fontId="0" fillId="0" borderId="0" xfId="0" applyNumberFormat="1" applyFont="1"/>
    <xf numFmtId="166" fontId="0" fillId="0" borderId="0" xfId="1" applyNumberFormat="1" applyFont="1"/>
    <xf numFmtId="10" fontId="2" fillId="0" borderId="0" xfId="1" applyNumberFormat="1" applyFont="1"/>
    <xf numFmtId="164" fontId="1" fillId="0" borderId="0" xfId="2" applyNumberFormat="1" applyFont="1"/>
    <xf numFmtId="10" fontId="1" fillId="0" borderId="0" xfId="1" applyNumberFormat="1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164" fontId="1" fillId="0" borderId="0" xfId="2" applyNumberFormat="1" applyFont="1" applyFill="1"/>
    <xf numFmtId="164" fontId="0" fillId="0" borderId="0" xfId="2" applyNumberFormat="1" applyFont="1" applyFill="1"/>
    <xf numFmtId="10" fontId="1" fillId="0" borderId="0" xfId="1" applyNumberFormat="1" applyFont="1" applyFill="1"/>
    <xf numFmtId="166" fontId="0" fillId="0" borderId="0" xfId="1" applyNumberFormat="1" applyFont="1" applyFill="1"/>
    <xf numFmtId="165" fontId="0" fillId="0" borderId="0" xfId="1" applyNumberFormat="1" applyFont="1" applyFill="1"/>
    <xf numFmtId="165" fontId="2" fillId="0" borderId="0" xfId="0" applyNumberFormat="1" applyFont="1" applyFill="1"/>
    <xf numFmtId="166" fontId="0" fillId="0" borderId="0" xfId="0" applyNumberFormat="1"/>
    <xf numFmtId="10" fontId="0" fillId="0" borderId="0" xfId="0" applyNumberFormat="1" applyFill="1"/>
    <xf numFmtId="10" fontId="0" fillId="0" borderId="0" xfId="1" applyNumberFormat="1" applyFont="1" applyFill="1"/>
    <xf numFmtId="10" fontId="2" fillId="0" borderId="0" xfId="0" applyNumberFormat="1" applyFont="1"/>
    <xf numFmtId="166" fontId="1" fillId="0" borderId="0" xfId="1" applyNumberFormat="1" applyFont="1"/>
    <xf numFmtId="165" fontId="1" fillId="0" borderId="0" xfId="1" applyNumberFormat="1" applyFont="1"/>
    <xf numFmtId="0" fontId="3" fillId="0" borderId="0" xfId="0" applyFont="1" applyAlignment="1"/>
    <xf numFmtId="10" fontId="0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2" fontId="8" fillId="0" borderId="0" xfId="0" applyNumberFormat="1" applyFont="1" applyAlignment="1">
      <alignment horizontal="right"/>
    </xf>
    <xf numFmtId="2" fontId="8" fillId="0" borderId="0" xfId="0" applyNumberFormat="1" applyFont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6" fontId="0" fillId="0" borderId="0" xfId="0" applyNumberFormat="1" applyFont="1"/>
    <xf numFmtId="165" fontId="0" fillId="0" borderId="0" xfId="0" applyNumberFormat="1" applyFill="1"/>
    <xf numFmtId="167" fontId="0" fillId="0" borderId="0" xfId="3" applyNumberFormat="1" applyFont="1"/>
    <xf numFmtId="0" fontId="0" fillId="0" borderId="0" xfId="0" applyFont="1" applyAlignment="1"/>
    <xf numFmtId="166" fontId="1" fillId="0" borderId="0" xfId="1" applyNumberFormat="1" applyFont="1" applyFill="1"/>
    <xf numFmtId="1" fontId="0" fillId="0" borderId="0" xfId="0" applyNumberFormat="1" applyFont="1"/>
    <xf numFmtId="1" fontId="0" fillId="0" borderId="0" xfId="1" applyNumberFormat="1" applyFont="1"/>
    <xf numFmtId="1" fontId="1" fillId="0" borderId="0" xfId="1" applyNumberFormat="1" applyFont="1"/>
    <xf numFmtId="2" fontId="0" fillId="0" borderId="0" xfId="0" applyNumberFormat="1"/>
    <xf numFmtId="167" fontId="2" fillId="0" borderId="0" xfId="3" applyNumberFormat="1" applyFont="1"/>
    <xf numFmtId="165" fontId="1" fillId="0" borderId="0" xfId="1" applyNumberFormat="1" applyFont="1" applyFill="1"/>
  </cellXfs>
  <cellStyles count="4">
    <cellStyle name="Komma" xfId="3" builtinId="3"/>
    <cellStyle name="Procent" xfId="1" builtinId="5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ben van Loon" id="{527BB77F-8834-4F90-A724-BBFD2F980508}" userId="S::gerben@gerbenvanloonengineering.nl::afe8845f-8ac3-4ac0-a0e6-085833b559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0-09-11T12:30:59.16" personId="{527BB77F-8834-4F90-A724-BBFD2F980508}" id="{475E6311-0448-49A0-9829-FF385283029D}">
    <text>6. OPERATING EXPENSES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1DA5-57F8-4691-A562-35D1BBAF2472}">
  <dimension ref="B2:B12"/>
  <sheetViews>
    <sheetView workbookViewId="0">
      <selection activeCell="B13" sqref="B13"/>
    </sheetView>
  </sheetViews>
  <sheetFormatPr defaultRowHeight="15" x14ac:dyDescent="0.25"/>
  <cols>
    <col min="2" max="2" width="118.5703125" customWidth="1"/>
  </cols>
  <sheetData>
    <row r="2" spans="2:2" x14ac:dyDescent="0.25">
      <c r="B2" s="1" t="s">
        <v>4</v>
      </c>
    </row>
    <row r="3" spans="2:2" x14ac:dyDescent="0.25">
      <c r="B3" s="8" t="s">
        <v>62</v>
      </c>
    </row>
    <row r="4" spans="2:2" x14ac:dyDescent="0.25">
      <c r="B4" s="8" t="s">
        <v>17</v>
      </c>
    </row>
    <row r="5" spans="2:2" x14ac:dyDescent="0.25">
      <c r="B5" s="2"/>
    </row>
    <row r="6" spans="2:2" x14ac:dyDescent="0.25">
      <c r="B6" s="8" t="s">
        <v>18</v>
      </c>
    </row>
    <row r="7" spans="2:2" x14ac:dyDescent="0.25">
      <c r="B7" s="3"/>
    </row>
    <row r="8" spans="2:2" x14ac:dyDescent="0.25">
      <c r="B8" s="8" t="s">
        <v>14</v>
      </c>
    </row>
    <row r="9" spans="2:2" x14ac:dyDescent="0.25">
      <c r="B9" s="8"/>
    </row>
    <row r="10" spans="2:2" x14ac:dyDescent="0.25">
      <c r="B10" s="8" t="s">
        <v>36</v>
      </c>
    </row>
    <row r="11" spans="2:2" x14ac:dyDescent="0.25">
      <c r="B11" s="8" t="s">
        <v>81</v>
      </c>
    </row>
    <row r="12" spans="2:2" x14ac:dyDescent="0.25">
      <c r="B12" s="8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8AD7-6BC3-4E4B-98D1-90AC5FA7AAC4}">
  <dimension ref="B2:H33"/>
  <sheetViews>
    <sheetView tabSelected="1" workbookViewId="0">
      <selection activeCell="N18" sqref="N18"/>
    </sheetView>
  </sheetViews>
  <sheetFormatPr defaultRowHeight="15" x14ac:dyDescent="0.25"/>
  <cols>
    <col min="2" max="2" width="36.28515625" customWidth="1"/>
    <col min="3" max="3" width="14.42578125" bestFit="1" customWidth="1"/>
    <col min="4" max="4" width="17" bestFit="1" customWidth="1"/>
    <col min="7" max="7" width="10" bestFit="1" customWidth="1"/>
  </cols>
  <sheetData>
    <row r="2" spans="2:7" x14ac:dyDescent="0.25">
      <c r="B2" t="s">
        <v>68</v>
      </c>
      <c r="C2" s="49">
        <v>53732257.130000003</v>
      </c>
    </row>
    <row r="3" spans="2:7" x14ac:dyDescent="0.25">
      <c r="C3" s="49"/>
    </row>
    <row r="4" spans="2:7" x14ac:dyDescent="0.25">
      <c r="C4" s="56" t="s">
        <v>134</v>
      </c>
      <c r="D4" s="1" t="s">
        <v>135</v>
      </c>
      <c r="F4" s="1"/>
    </row>
    <row r="5" spans="2:7" x14ac:dyDescent="0.25">
      <c r="B5" t="s">
        <v>69</v>
      </c>
      <c r="C5" s="49">
        <v>41819772.990000002</v>
      </c>
      <c r="D5" s="4">
        <v>0.7782992046811118</v>
      </c>
      <c r="G5" s="4"/>
    </row>
    <row r="6" spans="2:7" x14ac:dyDescent="0.25">
      <c r="B6" t="s">
        <v>70</v>
      </c>
      <c r="C6" s="49">
        <v>5480574.1299999999</v>
      </c>
      <c r="D6" s="4">
        <v>0.10199783933774233</v>
      </c>
      <c r="G6" s="4"/>
    </row>
    <row r="7" spans="2:7" x14ac:dyDescent="0.25">
      <c r="B7" t="s">
        <v>71</v>
      </c>
      <c r="C7" s="49">
        <v>5789028.6699999999</v>
      </c>
      <c r="D7" s="4">
        <v>0.10773842342029304</v>
      </c>
      <c r="G7" s="4"/>
    </row>
    <row r="8" spans="2:7" x14ac:dyDescent="0.25">
      <c r="B8" t="s">
        <v>72</v>
      </c>
      <c r="C8" s="49">
        <v>642881.34999999963</v>
      </c>
      <c r="D8" s="4">
        <v>1.1964532746960738E-2</v>
      </c>
      <c r="G8" s="6"/>
    </row>
    <row r="9" spans="2:7" x14ac:dyDescent="0.25">
      <c r="B9" t="s">
        <v>73</v>
      </c>
      <c r="C9" s="49">
        <v>53732257.140000008</v>
      </c>
    </row>
    <row r="10" spans="2:7" x14ac:dyDescent="0.25">
      <c r="C10" s="49"/>
    </row>
    <row r="11" spans="2:7" x14ac:dyDescent="0.25">
      <c r="B11" t="s">
        <v>74</v>
      </c>
      <c r="C11" s="49">
        <v>53089375.780000001</v>
      </c>
      <c r="G11" s="4"/>
    </row>
    <row r="12" spans="2:7" x14ac:dyDescent="0.25">
      <c r="B12" t="s">
        <v>75</v>
      </c>
      <c r="C12" s="49">
        <v>47608801.660000004</v>
      </c>
      <c r="G12" s="4"/>
    </row>
    <row r="13" spans="2:7" x14ac:dyDescent="0.25">
      <c r="G13" s="4"/>
    </row>
    <row r="14" spans="2:7" x14ac:dyDescent="0.25">
      <c r="G14" s="7"/>
    </row>
    <row r="15" spans="2:7" x14ac:dyDescent="0.25">
      <c r="G15" s="7"/>
    </row>
    <row r="17" spans="2:8" x14ac:dyDescent="0.25">
      <c r="B17" s="1" t="s">
        <v>96</v>
      </c>
      <c r="C17" s="1" t="s">
        <v>113</v>
      </c>
      <c r="D17" s="1" t="s">
        <v>114</v>
      </c>
      <c r="E17" s="1" t="s">
        <v>58</v>
      </c>
      <c r="F17" s="1" t="s">
        <v>97</v>
      </c>
      <c r="H17" s="1"/>
    </row>
    <row r="18" spans="2:8" x14ac:dyDescent="0.25">
      <c r="B18" s="1" t="s">
        <v>109</v>
      </c>
      <c r="C18" s="7">
        <f>IWDA!B29</f>
        <v>4.8818950303460493E-3</v>
      </c>
      <c r="D18" s="7">
        <f>IWDA!B31</f>
        <v>1.906561090584253E-3</v>
      </c>
      <c r="E18" s="7">
        <f>IWDA!B33</f>
        <v>4.4563826447660739E-3</v>
      </c>
      <c r="F18" s="14">
        <f>IWDA!H12</f>
        <v>0.11634302084452826</v>
      </c>
      <c r="H18" s="7"/>
    </row>
    <row r="19" spans="2:8" x14ac:dyDescent="0.25">
      <c r="B19" s="1" t="s">
        <v>106</v>
      </c>
      <c r="C19" s="7">
        <f>EMIM!B28</f>
        <v>4.719058311055754E-3</v>
      </c>
      <c r="D19" s="7">
        <f>EMIM!B30</f>
        <v>1.6460090919411742E-3</v>
      </c>
      <c r="E19" s="7">
        <f>EMIM!B32</f>
        <v>3.9754294299571792E-3</v>
      </c>
      <c r="F19" s="14">
        <f>EMIM!G12</f>
        <v>0.12782730934537115</v>
      </c>
      <c r="H19" s="7"/>
    </row>
    <row r="20" spans="2:8" x14ac:dyDescent="0.25">
      <c r="B20" s="1" t="s">
        <v>107</v>
      </c>
      <c r="C20" s="7">
        <f>IEMM!B28</f>
        <v>4.9214957171222831E-3</v>
      </c>
      <c r="E20" s="7">
        <f>IEMM!B31</f>
        <v>4.932642487809797E-3</v>
      </c>
      <c r="F20" s="14">
        <f>IEMM!H12</f>
        <v>0.12203008604052865</v>
      </c>
      <c r="H20" s="7"/>
    </row>
    <row r="21" spans="2:8" x14ac:dyDescent="0.25">
      <c r="B21" s="1" t="s">
        <v>108</v>
      </c>
      <c r="C21" s="7">
        <f>IEMA!B28</f>
        <v>5.7099486057513279E-3</v>
      </c>
      <c r="E21" s="7">
        <f>IEMA!B31</f>
        <v>5.0578330750149893E-3</v>
      </c>
      <c r="F21" s="14">
        <f>IEMA!H12</f>
        <v>0.12818992219549338</v>
      </c>
      <c r="H21" s="7"/>
    </row>
    <row r="22" spans="2:8" x14ac:dyDescent="0.25">
      <c r="B22" s="1" t="s">
        <v>110</v>
      </c>
      <c r="C22" s="7">
        <f>IEMS!B28</f>
        <v>6.8196709936002003E-3</v>
      </c>
      <c r="E22" s="7">
        <f>IEMS!B31</f>
        <v>4.6282955167536617E-3</v>
      </c>
      <c r="F22" s="14">
        <f>IEMS!H12</f>
        <v>0.14642301968419308</v>
      </c>
      <c r="H22" s="7"/>
    </row>
    <row r="23" spans="2:8" x14ac:dyDescent="0.25">
      <c r="B23" s="1" t="s">
        <v>111</v>
      </c>
      <c r="C23" s="7">
        <f>IUSN!B28</f>
        <v>6.2892364793213154E-3</v>
      </c>
      <c r="D23" s="7">
        <f>IUSN!B29</f>
        <v>3.5389713679745494E-3</v>
      </c>
      <c r="E23" s="7">
        <f>IUSN!B31</f>
        <v>5.789236479321315E-3</v>
      </c>
      <c r="F23" s="14">
        <f>IUSN!D12</f>
        <v>0.12574925291786171</v>
      </c>
      <c r="H23" s="7"/>
    </row>
    <row r="26" spans="2:8" x14ac:dyDescent="0.25">
      <c r="B26" s="1" t="s">
        <v>98</v>
      </c>
    </row>
    <row r="27" spans="2:8" x14ac:dyDescent="0.25">
      <c r="B27" s="2" t="s">
        <v>95</v>
      </c>
      <c r="C27" s="5">
        <f>C18*D5+C19*(D7+D8)+C23*D6</f>
        <v>5.005948781588907E-3</v>
      </c>
    </row>
    <row r="28" spans="2:8" x14ac:dyDescent="0.25">
      <c r="B28" s="2" t="s">
        <v>58</v>
      </c>
      <c r="C28" s="5">
        <f>E18*D5+E19*(D7+D8)+E23*D6</f>
        <v>4.5347593352823325E-3</v>
      </c>
    </row>
    <row r="30" spans="2:8" x14ac:dyDescent="0.25">
      <c r="B30" s="1" t="s">
        <v>116</v>
      </c>
    </row>
    <row r="31" spans="2:8" x14ac:dyDescent="0.25">
      <c r="B31" s="2" t="s">
        <v>114</v>
      </c>
      <c r="C31" s="5">
        <f>D18*D5+D19*(D7+D8)+D23*D6</f>
        <v>2.0418745676727508E-3</v>
      </c>
    </row>
    <row r="32" spans="2:8" x14ac:dyDescent="0.25">
      <c r="B32" s="2" t="s">
        <v>115</v>
      </c>
      <c r="C32" s="5">
        <f>(F18*D5+F19*(D7+D8)+F23*D6)*2.5%</f>
        <v>2.9669284874249621E-3</v>
      </c>
      <c r="D32" t="s">
        <v>118</v>
      </c>
    </row>
    <row r="33" spans="2:3" x14ac:dyDescent="0.25">
      <c r="B33" s="2" t="s">
        <v>117</v>
      </c>
      <c r="C33" s="6">
        <f>SUM(C31:C32)</f>
        <v>5.0088030550977129E-3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6"/>
  <sheetViews>
    <sheetView zoomScaleNormal="100" workbookViewId="0">
      <selection activeCell="B32" sqref="B32"/>
    </sheetView>
  </sheetViews>
  <sheetFormatPr defaultRowHeight="15" x14ac:dyDescent="0.25"/>
  <cols>
    <col min="1" max="1" width="36.42578125" customWidth="1"/>
    <col min="2" max="7" width="17.7109375" customWidth="1"/>
    <col min="8" max="8" width="14.140625" customWidth="1"/>
    <col min="9" max="9" width="13.28515625" customWidth="1"/>
    <col min="10" max="10" width="91.85546875" customWidth="1"/>
  </cols>
  <sheetData>
    <row r="2" spans="1:10" x14ac:dyDescent="0.25">
      <c r="A2" s="10" t="s">
        <v>6</v>
      </c>
      <c r="B2" s="10"/>
      <c r="C2" s="9"/>
      <c r="D2" s="9"/>
      <c r="E2" s="9"/>
      <c r="F2" s="9"/>
      <c r="G2" s="9"/>
      <c r="H2" s="9"/>
      <c r="J2" s="1" t="s">
        <v>5</v>
      </c>
    </row>
    <row r="3" spans="1:10" x14ac:dyDescent="0.25">
      <c r="A3" s="18" t="s">
        <v>19</v>
      </c>
      <c r="B3" s="18"/>
      <c r="C3" s="18"/>
      <c r="D3" s="18"/>
      <c r="E3" s="18"/>
      <c r="F3" s="18"/>
      <c r="G3" s="18"/>
      <c r="H3" s="18"/>
      <c r="J3" s="2" t="s">
        <v>61</v>
      </c>
    </row>
    <row r="4" spans="1:10" x14ac:dyDescent="0.25">
      <c r="A4" s="18"/>
      <c r="B4" s="19">
        <v>2014</v>
      </c>
      <c r="C4" s="19">
        <v>2015</v>
      </c>
      <c r="D4" s="19">
        <v>2016</v>
      </c>
      <c r="E4" s="19">
        <v>2017</v>
      </c>
      <c r="F4" s="19">
        <v>2018</v>
      </c>
      <c r="G4" s="19">
        <v>2019</v>
      </c>
      <c r="H4" s="19" t="s">
        <v>2</v>
      </c>
      <c r="J4" s="2" t="s">
        <v>24</v>
      </c>
    </row>
    <row r="5" spans="1:10" x14ac:dyDescent="0.25">
      <c r="A5" s="20" t="s">
        <v>12</v>
      </c>
      <c r="B5" s="21">
        <v>1487510</v>
      </c>
      <c r="C5" s="21">
        <v>4268212</v>
      </c>
      <c r="D5" s="22">
        <v>6473287</v>
      </c>
      <c r="E5" s="22">
        <v>10938731</v>
      </c>
      <c r="F5" s="22">
        <v>14711738</v>
      </c>
      <c r="G5" s="22">
        <v>19581640</v>
      </c>
      <c r="H5" s="19"/>
      <c r="J5" s="2" t="s">
        <v>25</v>
      </c>
    </row>
    <row r="6" spans="1:10" x14ac:dyDescent="0.25">
      <c r="A6" s="20" t="s">
        <v>11</v>
      </c>
      <c r="B6" s="21">
        <v>3363</v>
      </c>
      <c r="C6" s="21">
        <v>5351</v>
      </c>
      <c r="D6" s="22">
        <v>10764</v>
      </c>
      <c r="E6" s="22">
        <v>17143</v>
      </c>
      <c r="F6" s="22">
        <v>26741</v>
      </c>
      <c r="G6" s="22">
        <v>34465</v>
      </c>
      <c r="H6" s="18"/>
      <c r="J6" s="2" t="s">
        <v>26</v>
      </c>
    </row>
    <row r="7" spans="1:10" x14ac:dyDescent="0.25">
      <c r="A7" s="20" t="s">
        <v>13</v>
      </c>
      <c r="B7" s="23">
        <v>3.8999999999999998E-3</v>
      </c>
      <c r="C7" s="23">
        <v>2E-3</v>
      </c>
      <c r="D7" s="23">
        <v>2E-3</v>
      </c>
      <c r="E7" s="23">
        <v>2E-3</v>
      </c>
      <c r="F7" s="23">
        <v>2E-3</v>
      </c>
      <c r="G7" s="23">
        <v>2E-3</v>
      </c>
      <c r="H7" s="28">
        <f>AVERAGE(B7:G7)</f>
        <v>2.316666666666667E-3</v>
      </c>
      <c r="J7" s="2" t="s">
        <v>32</v>
      </c>
    </row>
    <row r="8" spans="1:10" x14ac:dyDescent="0.25">
      <c r="A8" s="20" t="s">
        <v>16</v>
      </c>
      <c r="B8" s="22">
        <f>B6/B7</f>
        <v>862307.69230769237</v>
      </c>
      <c r="C8" s="22">
        <f t="shared" ref="C8:G8" si="0">C6/C7</f>
        <v>2675500</v>
      </c>
      <c r="D8" s="22">
        <f t="shared" si="0"/>
        <v>5382000</v>
      </c>
      <c r="E8" s="22">
        <f t="shared" si="0"/>
        <v>8571500</v>
      </c>
      <c r="F8" s="22">
        <f t="shared" si="0"/>
        <v>13370500</v>
      </c>
      <c r="G8" s="22">
        <f t="shared" si="0"/>
        <v>17232500</v>
      </c>
      <c r="H8" s="28"/>
    </row>
    <row r="9" spans="1:10" x14ac:dyDescent="0.25">
      <c r="A9" s="20"/>
      <c r="B9" s="29"/>
      <c r="C9" s="29"/>
      <c r="D9" s="29"/>
      <c r="E9" s="29"/>
      <c r="F9" s="29"/>
      <c r="G9" s="29"/>
      <c r="H9" s="28"/>
      <c r="J9" s="2" t="s">
        <v>39</v>
      </c>
    </row>
    <row r="10" spans="1:10" x14ac:dyDescent="0.25">
      <c r="A10" s="20" t="s">
        <v>7</v>
      </c>
      <c r="B10" s="21">
        <v>21877</v>
      </c>
      <c r="C10" s="21">
        <v>68989</v>
      </c>
      <c r="D10" s="22">
        <v>146778</v>
      </c>
      <c r="E10" s="22">
        <v>218802</v>
      </c>
      <c r="F10" s="22">
        <v>323631</v>
      </c>
      <c r="G10" s="22">
        <v>435291</v>
      </c>
      <c r="H10" s="28"/>
      <c r="J10" s="2" t="s">
        <v>41</v>
      </c>
    </row>
    <row r="11" spans="1:10" x14ac:dyDescent="0.25">
      <c r="A11" s="20" t="s">
        <v>9</v>
      </c>
      <c r="B11" s="21">
        <v>2530</v>
      </c>
      <c r="C11" s="21">
        <v>7895</v>
      </c>
      <c r="D11" s="22">
        <v>17329</v>
      </c>
      <c r="E11" s="22">
        <v>25220</v>
      </c>
      <c r="F11" s="22">
        <v>37451</v>
      </c>
      <c r="G11" s="22">
        <v>51767</v>
      </c>
      <c r="H11" s="28"/>
    </row>
    <row r="12" spans="1:10" x14ac:dyDescent="0.25">
      <c r="A12" s="20" t="s">
        <v>10</v>
      </c>
      <c r="B12" s="24">
        <f>B11/B10</f>
        <v>0.11564656945650684</v>
      </c>
      <c r="C12" s="24">
        <f t="shared" ref="C12:G12" si="1">C11/C10</f>
        <v>0.11443853367928221</v>
      </c>
      <c r="D12" s="24">
        <f t="shared" si="1"/>
        <v>0.11806265244110153</v>
      </c>
      <c r="E12" s="24">
        <f t="shared" si="1"/>
        <v>0.11526402866518587</v>
      </c>
      <c r="F12" s="24">
        <f t="shared" si="1"/>
        <v>0.11572129987547547</v>
      </c>
      <c r="G12" s="24">
        <f t="shared" si="1"/>
        <v>0.11892504094961762</v>
      </c>
      <c r="H12" s="28">
        <f>AVERAGE(B12:G12)</f>
        <v>0.11634302084452826</v>
      </c>
      <c r="J12" t="s">
        <v>63</v>
      </c>
    </row>
    <row r="13" spans="1:10" x14ac:dyDescent="0.25">
      <c r="A13" s="20" t="s">
        <v>28</v>
      </c>
      <c r="B13" s="29">
        <f t="shared" ref="B13:G13" si="2">B11/B8</f>
        <v>2.9339875111507579E-3</v>
      </c>
      <c r="C13" s="29">
        <f t="shared" si="2"/>
        <v>2.9508503083535789E-3</v>
      </c>
      <c r="D13" s="29">
        <f t="shared" si="2"/>
        <v>3.2198067632850241E-3</v>
      </c>
      <c r="E13" s="29">
        <f t="shared" si="2"/>
        <v>2.9423088140932158E-3</v>
      </c>
      <c r="F13" s="29">
        <f t="shared" si="2"/>
        <v>2.8010171646535285E-3</v>
      </c>
      <c r="G13" s="29">
        <f t="shared" si="2"/>
        <v>3.004033077034673E-3</v>
      </c>
      <c r="H13" s="28">
        <f>AVERAGE(B13:G13)</f>
        <v>2.9753339397617963E-3</v>
      </c>
      <c r="J13" t="s">
        <v>66</v>
      </c>
    </row>
    <row r="14" spans="1:10" x14ac:dyDescent="0.25">
      <c r="A14" s="20" t="s">
        <v>133</v>
      </c>
      <c r="B14" s="29">
        <f>B10/B8</f>
        <v>2.5370294380017838E-2</v>
      </c>
      <c r="C14" s="29">
        <f>C10/C8</f>
        <v>2.5785460661558589E-2</v>
      </c>
      <c r="D14" s="29">
        <f t="shared" ref="D14:G14" si="3">D10/D8</f>
        <v>2.7272017837235228E-2</v>
      </c>
      <c r="E14" s="29">
        <f t="shared" si="3"/>
        <v>2.5526687277606021E-2</v>
      </c>
      <c r="F14" s="29">
        <f t="shared" si="3"/>
        <v>2.4204853969559851E-2</v>
      </c>
      <c r="G14" s="29">
        <f t="shared" si="3"/>
        <v>2.5259886841723488E-2</v>
      </c>
      <c r="H14" s="48"/>
      <c r="J14" t="s">
        <v>89</v>
      </c>
    </row>
    <row r="15" spans="1:10" x14ac:dyDescent="0.25">
      <c r="A15" s="20"/>
      <c r="B15" s="22"/>
      <c r="C15" s="22"/>
      <c r="D15" s="22"/>
      <c r="E15" s="22"/>
      <c r="F15" s="22"/>
      <c r="G15" s="22"/>
      <c r="H15" s="28"/>
    </row>
    <row r="16" spans="1:10" x14ac:dyDescent="0.25">
      <c r="A16" s="20" t="s">
        <v>8</v>
      </c>
      <c r="B16" s="21">
        <v>7</v>
      </c>
      <c r="C16" s="21">
        <v>349</v>
      </c>
      <c r="D16" s="22">
        <v>947</v>
      </c>
      <c r="E16" s="22">
        <v>2133</v>
      </c>
      <c r="F16" s="22">
        <v>3345</v>
      </c>
      <c r="G16" s="22">
        <v>5560</v>
      </c>
      <c r="H16" s="28"/>
    </row>
    <row r="17" spans="1:10" x14ac:dyDescent="0.25">
      <c r="A17" s="20" t="s">
        <v>21</v>
      </c>
      <c r="B17" s="57">
        <f t="shared" ref="B17:G17" si="4">B16/B8</f>
        <v>8.1177520071364855E-6</v>
      </c>
      <c r="C17" s="57">
        <f t="shared" si="4"/>
        <v>1.3044290786768829E-4</v>
      </c>
      <c r="D17" s="57">
        <f t="shared" si="4"/>
        <v>1.759568933481977E-4</v>
      </c>
      <c r="E17" s="57">
        <f t="shared" si="4"/>
        <v>2.4884792626728109E-4</v>
      </c>
      <c r="F17" s="57">
        <f t="shared" si="4"/>
        <v>2.5017762985677424E-4</v>
      </c>
      <c r="G17" s="57">
        <f t="shared" si="4"/>
        <v>3.2264616277382854E-4</v>
      </c>
      <c r="H17" s="28">
        <f>AVERAGE(B17:G17)</f>
        <v>1.893648786868177E-4</v>
      </c>
    </row>
    <row r="18" spans="1:10" x14ac:dyDescent="0.25">
      <c r="A18" s="2" t="s">
        <v>78</v>
      </c>
      <c r="B18" s="51">
        <f>3/B5</f>
        <v>2.0167931644157014E-6</v>
      </c>
      <c r="C18" s="51">
        <f>137586/C5</f>
        <v>3.2235043620138834E-2</v>
      </c>
      <c r="D18" s="51">
        <f>491894/D5</f>
        <v>7.5988288484660105E-2</v>
      </c>
      <c r="E18" s="51">
        <v>7.7799999999999994E-2</v>
      </c>
      <c r="F18" s="51">
        <v>0.10730000000000001</v>
      </c>
      <c r="G18" s="51">
        <v>0.12559999999999999</v>
      </c>
      <c r="H18" s="48"/>
    </row>
    <row r="19" spans="1:10" x14ac:dyDescent="0.25">
      <c r="A19" s="20"/>
      <c r="B19" s="21"/>
      <c r="C19" s="21"/>
      <c r="D19" s="22"/>
      <c r="E19" s="22"/>
      <c r="F19" s="22"/>
      <c r="G19" s="22"/>
      <c r="H19" s="28"/>
    </row>
    <row r="20" spans="1:10" x14ac:dyDescent="0.25">
      <c r="A20" s="20" t="s">
        <v>0</v>
      </c>
      <c r="B20" s="20">
        <v>611</v>
      </c>
      <c r="C20" s="21">
        <v>1652</v>
      </c>
      <c r="D20" s="22">
        <v>1649</v>
      </c>
      <c r="E20" s="22">
        <v>2396</v>
      </c>
      <c r="F20" s="22">
        <v>2254</v>
      </c>
      <c r="G20" s="22">
        <v>2701</v>
      </c>
      <c r="H20" s="28"/>
    </row>
    <row r="21" spans="1:10" x14ac:dyDescent="0.25">
      <c r="A21" s="20" t="s">
        <v>1</v>
      </c>
      <c r="B21" s="25">
        <f t="shared" ref="B21:G21" si="5">B20/B8</f>
        <v>7.0856378233719887E-4</v>
      </c>
      <c r="C21" s="25">
        <f t="shared" si="5"/>
        <v>6.1745468136796859E-4</v>
      </c>
      <c r="D21" s="25">
        <f t="shared" si="5"/>
        <v>3.0639167595689337E-4</v>
      </c>
      <c r="E21" s="25">
        <f t="shared" si="5"/>
        <v>2.7953100390830078E-4</v>
      </c>
      <c r="F21" s="25">
        <f t="shared" si="5"/>
        <v>1.685800830185857E-4</v>
      </c>
      <c r="G21" s="25">
        <f t="shared" si="5"/>
        <v>1.5673872044102714E-4</v>
      </c>
      <c r="H21" s="28">
        <f>AVERAGE(B21:G21)</f>
        <v>3.7287665783832907E-4</v>
      </c>
    </row>
    <row r="22" spans="1:10" x14ac:dyDescent="0.25">
      <c r="A22" s="20"/>
      <c r="B22" s="29"/>
      <c r="C22" s="29"/>
      <c r="D22" s="29"/>
      <c r="E22" s="29"/>
      <c r="F22" s="29"/>
      <c r="G22" s="29"/>
      <c r="H22" s="28"/>
    </row>
    <row r="23" spans="1:10" x14ac:dyDescent="0.25">
      <c r="A23" s="20" t="s">
        <v>77</v>
      </c>
      <c r="B23" s="29"/>
      <c r="C23" s="29">
        <v>1E-4</v>
      </c>
      <c r="D23" s="29">
        <v>1E-4</v>
      </c>
      <c r="E23" s="29">
        <v>1E-4</v>
      </c>
      <c r="F23" s="29">
        <v>2.9999999999999997E-4</v>
      </c>
      <c r="G23" s="29">
        <v>2.9999999999999997E-4</v>
      </c>
      <c r="H23" s="28"/>
    </row>
    <row r="24" spans="1:10" x14ac:dyDescent="0.25">
      <c r="A24" s="18"/>
      <c r="B24" s="18"/>
      <c r="C24" s="18"/>
      <c r="D24" s="18"/>
      <c r="E24" s="18"/>
      <c r="F24" s="18"/>
      <c r="G24" s="18"/>
      <c r="H24" s="25"/>
    </row>
    <row r="25" spans="1:10" x14ac:dyDescent="0.25">
      <c r="A25" s="18" t="s">
        <v>44</v>
      </c>
      <c r="B25" s="28">
        <f>H7+H13-H17+H21</f>
        <v>5.4755123855799743E-3</v>
      </c>
      <c r="C25" s="18" t="s">
        <v>86</v>
      </c>
      <c r="D25" s="26"/>
      <c r="E25" s="26"/>
      <c r="F25" s="25"/>
      <c r="G25" s="25"/>
      <c r="H25" s="25"/>
      <c r="J25" s="8"/>
    </row>
    <row r="26" spans="1:10" x14ac:dyDescent="0.25">
      <c r="A26" s="18" t="s">
        <v>45</v>
      </c>
      <c r="B26" s="28">
        <f>TrackingDifference!L5/100</f>
        <v>5.0499999999999989E-3</v>
      </c>
      <c r="C26" s="18" t="s">
        <v>86</v>
      </c>
      <c r="D26" s="18"/>
      <c r="E26" s="18"/>
      <c r="F26" s="18"/>
      <c r="G26" s="18"/>
      <c r="H26" s="18"/>
      <c r="J26" s="8"/>
    </row>
    <row r="27" spans="1:10" x14ac:dyDescent="0.25">
      <c r="A27" s="18" t="s">
        <v>27</v>
      </c>
      <c r="B27" s="28">
        <f>B26-B25</f>
        <v>-4.2551238557997535E-4</v>
      </c>
      <c r="C27" s="18"/>
      <c r="D27" s="18"/>
      <c r="E27" s="18"/>
      <c r="F27" s="18"/>
      <c r="G27" s="18"/>
      <c r="H27" s="18"/>
      <c r="J27" s="8"/>
    </row>
    <row r="28" spans="1:10" x14ac:dyDescent="0.25">
      <c r="B28" s="18"/>
      <c r="C28" s="18"/>
      <c r="D28" s="18"/>
      <c r="E28" s="29"/>
      <c r="F28" s="18"/>
      <c r="G28" s="18"/>
      <c r="H28" s="18"/>
      <c r="I28" s="6"/>
      <c r="J28" s="8"/>
    </row>
    <row r="29" spans="1:10" x14ac:dyDescent="0.25">
      <c r="A29" s="19" t="s">
        <v>3</v>
      </c>
      <c r="B29" s="26">
        <f>G7+H13-F17+G21</f>
        <v>4.8818950303460493E-3</v>
      </c>
      <c r="I29" s="6"/>
      <c r="J29" s="8"/>
    </row>
    <row r="30" spans="1:10" x14ac:dyDescent="0.25">
      <c r="A30" s="2" t="s">
        <v>76</v>
      </c>
      <c r="B30" s="34">
        <f>B29-B25</f>
        <v>-5.9361735523392502E-4</v>
      </c>
      <c r="I30" s="6"/>
    </row>
    <row r="31" spans="1:10" x14ac:dyDescent="0.25">
      <c r="A31" s="1" t="s">
        <v>112</v>
      </c>
      <c r="B31" s="30">
        <f>G7-F17+G21</f>
        <v>1.906561090584253E-3</v>
      </c>
      <c r="C31" s="12"/>
      <c r="D31" s="12"/>
      <c r="E31" s="12"/>
      <c r="F31" s="5"/>
      <c r="G31" s="5"/>
      <c r="H31" s="5"/>
      <c r="I31" s="6"/>
    </row>
    <row r="32" spans="1:10" x14ac:dyDescent="0.25">
      <c r="A32" s="1"/>
      <c r="B32" s="1"/>
      <c r="C32" s="12"/>
      <c r="D32" s="12"/>
      <c r="E32" s="12"/>
      <c r="F32" s="5"/>
      <c r="G32" s="5"/>
      <c r="H32" s="5"/>
      <c r="I32" s="6"/>
    </row>
    <row r="33" spans="1:9" x14ac:dyDescent="0.25">
      <c r="A33" s="1" t="s">
        <v>67</v>
      </c>
      <c r="B33" s="12">
        <f>B26+B30</f>
        <v>4.4563826447660739E-3</v>
      </c>
      <c r="C33" s="12"/>
      <c r="D33" s="12"/>
      <c r="E33" s="12"/>
      <c r="F33" s="5"/>
      <c r="G33" s="5"/>
      <c r="H33" s="5"/>
      <c r="I33" s="6"/>
    </row>
    <row r="34" spans="1:9" x14ac:dyDescent="0.25">
      <c r="A34" s="1"/>
      <c r="B34" s="1"/>
      <c r="C34" s="12"/>
      <c r="D34" s="12"/>
      <c r="E34" s="12"/>
      <c r="F34" s="5"/>
      <c r="G34" s="5"/>
      <c r="H34" s="5"/>
      <c r="I34" s="6"/>
    </row>
    <row r="35" spans="1:9" x14ac:dyDescent="0.25">
      <c r="A35" s="2" t="s">
        <v>79</v>
      </c>
      <c r="B35" s="1"/>
      <c r="C35" s="12"/>
      <c r="D35" s="52">
        <v>17</v>
      </c>
      <c r="E35" s="52">
        <v>163</v>
      </c>
      <c r="F35" s="53">
        <v>304</v>
      </c>
      <c r="G35" s="54">
        <v>1181</v>
      </c>
      <c r="H35" s="5"/>
      <c r="I35" s="6"/>
    </row>
    <row r="36" spans="1:9" x14ac:dyDescent="0.25">
      <c r="A36" s="2" t="s">
        <v>80</v>
      </c>
      <c r="B36" s="1"/>
      <c r="C36" s="12"/>
      <c r="D36" s="5">
        <f>D35/D8</f>
        <v>3.15867707172055E-6</v>
      </c>
      <c r="E36" s="5">
        <f>E35/E8</f>
        <v>1.9016508195765037E-5</v>
      </c>
      <c r="F36" s="5">
        <f>F35/F8</f>
        <v>2.2736621667102952E-5</v>
      </c>
      <c r="G36" s="5">
        <f>G35/G8</f>
        <v>6.8533294646743069E-5</v>
      </c>
      <c r="H36" s="5"/>
      <c r="I36" s="6"/>
    </row>
    <row r="37" spans="1:9" x14ac:dyDescent="0.25">
      <c r="A37" s="1"/>
      <c r="B37" s="1"/>
      <c r="C37" s="12"/>
      <c r="D37" s="12"/>
      <c r="E37" s="12"/>
      <c r="F37" s="5"/>
      <c r="G37" s="5"/>
      <c r="H37" s="5"/>
      <c r="I37" s="6"/>
    </row>
    <row r="38" spans="1:9" x14ac:dyDescent="0.25">
      <c r="A38" s="1"/>
      <c r="B38" s="15"/>
      <c r="C38" s="15"/>
      <c r="D38" s="15"/>
      <c r="E38" s="15"/>
      <c r="F38" s="15"/>
      <c r="G38" s="15"/>
      <c r="H38" s="5"/>
      <c r="I38" s="6"/>
    </row>
    <row r="39" spans="1:9" x14ac:dyDescent="0.25">
      <c r="A39" s="1"/>
      <c r="B39" s="1"/>
      <c r="C39" s="12"/>
      <c r="D39" s="12"/>
      <c r="E39" s="12"/>
      <c r="F39" s="5"/>
      <c r="G39" s="5"/>
      <c r="H39" s="5"/>
      <c r="I39" s="6"/>
    </row>
    <row r="40" spans="1:9" x14ac:dyDescent="0.25">
      <c r="A40" s="1"/>
      <c r="B40" s="1"/>
      <c r="C40" s="12"/>
      <c r="D40" s="12"/>
      <c r="E40" s="12"/>
      <c r="F40" s="5"/>
      <c r="G40" s="5"/>
      <c r="H40" s="5"/>
      <c r="I40" s="6"/>
    </row>
    <row r="41" spans="1:9" x14ac:dyDescent="0.25">
      <c r="A41" s="1"/>
      <c r="B41" s="1"/>
      <c r="C41" s="12"/>
      <c r="D41" s="12"/>
      <c r="E41" s="12"/>
      <c r="F41" s="5"/>
      <c r="G41" s="5"/>
      <c r="H41" s="5"/>
      <c r="I41" s="6"/>
    </row>
    <row r="42" spans="1:9" x14ac:dyDescent="0.25">
      <c r="A42" s="1"/>
      <c r="B42" s="1"/>
      <c r="C42" s="12"/>
      <c r="D42" s="12"/>
      <c r="E42" s="12"/>
      <c r="F42" s="5"/>
      <c r="G42" s="5"/>
      <c r="H42" s="5"/>
      <c r="I42" s="6"/>
    </row>
    <row r="43" spans="1:9" x14ac:dyDescent="0.25">
      <c r="A43" s="1"/>
      <c r="B43" s="1"/>
      <c r="C43" s="12"/>
      <c r="D43" s="12"/>
      <c r="E43" s="12"/>
      <c r="F43" s="5"/>
      <c r="G43" s="5"/>
      <c r="H43" s="5"/>
      <c r="I43" s="6"/>
    </row>
    <row r="44" spans="1:9" x14ac:dyDescent="0.25">
      <c r="A44" s="1"/>
      <c r="B44" s="1"/>
      <c r="C44" s="12"/>
      <c r="D44" s="12"/>
      <c r="E44" s="12"/>
      <c r="F44" s="5"/>
      <c r="G44" s="5"/>
      <c r="H44" s="5"/>
      <c r="I44" s="6"/>
    </row>
    <row r="45" spans="1:9" x14ac:dyDescent="0.25">
      <c r="A45" s="1"/>
      <c r="B45" s="1"/>
      <c r="C45" s="12"/>
      <c r="D45" s="12"/>
      <c r="E45" s="12"/>
      <c r="F45" s="5"/>
      <c r="G45" s="5"/>
      <c r="H45" s="5"/>
      <c r="I45" s="6"/>
    </row>
    <row r="46" spans="1:9" x14ac:dyDescent="0.25">
      <c r="A46" s="1"/>
      <c r="B46" s="1"/>
      <c r="C46" s="12"/>
      <c r="D46" s="12"/>
      <c r="E46" s="12"/>
      <c r="F46" s="5"/>
      <c r="G46" s="5"/>
      <c r="H46" s="5"/>
      <c r="I46" s="6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2431-B8A3-40F8-9BF4-EC97DECEFC14}">
  <dimension ref="A2:I36"/>
  <sheetViews>
    <sheetView zoomScaleNormal="100" workbookViewId="0">
      <selection activeCell="B31" sqref="B31"/>
    </sheetView>
  </sheetViews>
  <sheetFormatPr defaultRowHeight="15" x14ac:dyDescent="0.25"/>
  <cols>
    <col min="1" max="1" width="38.5703125" customWidth="1"/>
    <col min="2" max="6" width="17.7109375" customWidth="1"/>
    <col min="7" max="7" width="15" customWidth="1"/>
    <col min="8" max="8" width="13.28515625" customWidth="1"/>
    <col min="9" max="9" width="104.85546875" customWidth="1"/>
  </cols>
  <sheetData>
    <row r="2" spans="1:9" x14ac:dyDescent="0.25">
      <c r="A2" s="10" t="s">
        <v>38</v>
      </c>
      <c r="B2" s="9"/>
      <c r="C2" s="9"/>
      <c r="D2" s="9"/>
      <c r="E2" s="9"/>
      <c r="F2" s="9"/>
      <c r="G2" s="9"/>
      <c r="I2" s="1" t="s">
        <v>5</v>
      </c>
    </row>
    <row r="3" spans="1:9" x14ac:dyDescent="0.25">
      <c r="A3" t="s">
        <v>34</v>
      </c>
      <c r="I3" s="50" t="s">
        <v>83</v>
      </c>
    </row>
    <row r="4" spans="1:9" x14ac:dyDescent="0.25">
      <c r="B4" s="1">
        <v>2015</v>
      </c>
      <c r="C4" s="1">
        <v>2016</v>
      </c>
      <c r="D4" s="1">
        <v>2017</v>
      </c>
      <c r="E4" s="1">
        <v>2018</v>
      </c>
      <c r="F4" s="1">
        <v>2019</v>
      </c>
      <c r="G4" s="1" t="s">
        <v>2</v>
      </c>
      <c r="I4" s="33"/>
    </row>
    <row r="5" spans="1:9" x14ac:dyDescent="0.25">
      <c r="A5" s="2" t="s">
        <v>12</v>
      </c>
      <c r="B5" s="16">
        <v>1055668</v>
      </c>
      <c r="C5" s="16">
        <v>1594449</v>
      </c>
      <c r="D5" s="16">
        <v>4605402</v>
      </c>
      <c r="E5" s="16">
        <v>9460691</v>
      </c>
      <c r="F5" s="16">
        <v>12495330</v>
      </c>
      <c r="G5" s="2"/>
      <c r="I5" s="2" t="s">
        <v>35</v>
      </c>
    </row>
    <row r="6" spans="1:9" x14ac:dyDescent="0.25">
      <c r="A6" s="2" t="s">
        <v>11</v>
      </c>
      <c r="B6" s="16">
        <v>763</v>
      </c>
      <c r="C6" s="16">
        <v>3182</v>
      </c>
      <c r="D6" s="16">
        <v>8100</v>
      </c>
      <c r="E6" s="16">
        <v>17606</v>
      </c>
      <c r="F6" s="16">
        <v>19891</v>
      </c>
      <c r="G6" s="2"/>
      <c r="I6" s="2" t="s">
        <v>84</v>
      </c>
    </row>
    <row r="7" spans="1:9" x14ac:dyDescent="0.25">
      <c r="A7" s="2" t="s">
        <v>13</v>
      </c>
      <c r="B7" s="17">
        <v>2.5000000000000001E-3</v>
      </c>
      <c r="C7" s="17">
        <v>2.5000000000000001E-3</v>
      </c>
      <c r="D7" s="17">
        <v>2.5000000000000001E-3</v>
      </c>
      <c r="E7" s="17">
        <v>2.5000000000000001E-3</v>
      </c>
      <c r="F7" s="17">
        <v>2E-3</v>
      </c>
      <c r="G7" s="34">
        <f>AVERAGE(B7:F7)</f>
        <v>2.4000000000000002E-3</v>
      </c>
      <c r="I7" s="2" t="s">
        <v>41</v>
      </c>
    </row>
    <row r="8" spans="1:9" x14ac:dyDescent="0.25">
      <c r="A8" s="2" t="s">
        <v>16</v>
      </c>
      <c r="B8" s="16">
        <f t="shared" ref="B8:F8" si="0">B6/B7</f>
        <v>305200</v>
      </c>
      <c r="C8" s="16">
        <f t="shared" si="0"/>
        <v>1272800</v>
      </c>
      <c r="D8" s="16">
        <f t="shared" si="0"/>
        <v>3240000</v>
      </c>
      <c r="E8" s="16">
        <f t="shared" si="0"/>
        <v>7042400</v>
      </c>
      <c r="F8" s="16">
        <f t="shared" si="0"/>
        <v>9945500</v>
      </c>
      <c r="G8" s="2"/>
      <c r="I8" s="2" t="s">
        <v>42</v>
      </c>
    </row>
    <row r="9" spans="1:9" x14ac:dyDescent="0.25">
      <c r="A9" s="20"/>
      <c r="B9" s="4"/>
      <c r="C9" s="4"/>
      <c r="D9" s="4"/>
      <c r="E9" s="4"/>
      <c r="F9" s="4"/>
      <c r="G9" s="2"/>
      <c r="I9" s="8"/>
    </row>
    <row r="10" spans="1:9" x14ac:dyDescent="0.25">
      <c r="A10" s="2" t="s">
        <v>7</v>
      </c>
      <c r="B10" s="16">
        <v>4988</v>
      </c>
      <c r="C10" s="16">
        <v>34764</v>
      </c>
      <c r="D10" s="16">
        <v>79612</v>
      </c>
      <c r="E10" s="16">
        <v>172015</v>
      </c>
      <c r="F10" s="16">
        <v>276851</v>
      </c>
      <c r="G10" s="2"/>
      <c r="I10" t="s">
        <v>64</v>
      </c>
    </row>
    <row r="11" spans="1:9" x14ac:dyDescent="0.25">
      <c r="A11" s="2" t="s">
        <v>9</v>
      </c>
      <c r="B11" s="16">
        <v>661</v>
      </c>
      <c r="C11" s="16">
        <v>3983</v>
      </c>
      <c r="D11" s="16">
        <v>10068</v>
      </c>
      <c r="E11" s="16">
        <v>21696</v>
      </c>
      <c r="F11" s="16">
        <v>38608</v>
      </c>
      <c r="G11" s="2"/>
      <c r="I11" t="s">
        <v>66</v>
      </c>
    </row>
    <row r="12" spans="1:9" x14ac:dyDescent="0.25">
      <c r="A12" s="2" t="s">
        <v>10</v>
      </c>
      <c r="B12" s="31">
        <f t="shared" ref="B12:F12" si="1">B11/B10</f>
        <v>0.13251804330392944</v>
      </c>
      <c r="C12" s="31">
        <f t="shared" si="1"/>
        <v>0.11457254631227706</v>
      </c>
      <c r="D12" s="31">
        <f t="shared" si="1"/>
        <v>0.12646334723408531</v>
      </c>
      <c r="E12" s="31">
        <f t="shared" si="1"/>
        <v>0.12612853530215387</v>
      </c>
      <c r="F12" s="31">
        <f t="shared" si="1"/>
        <v>0.13945407457441006</v>
      </c>
      <c r="G12" s="47">
        <f>AVERAGE(B12:F12)</f>
        <v>0.12782730934537115</v>
      </c>
      <c r="I12" t="s">
        <v>89</v>
      </c>
    </row>
    <row r="13" spans="1:9" x14ac:dyDescent="0.25">
      <c r="A13" s="2" t="s">
        <v>37</v>
      </c>
      <c r="B13" s="17">
        <f>B11/B8</f>
        <v>2.1657929226736568E-3</v>
      </c>
      <c r="C13" s="17">
        <f>C11/C8</f>
        <v>3.1293211816467632E-3</v>
      </c>
      <c r="D13" s="17">
        <f>D11/D8</f>
        <v>3.1074074074074073E-3</v>
      </c>
      <c r="E13" s="17">
        <f>E11/E8</f>
        <v>3.0807679200272635E-3</v>
      </c>
      <c r="F13" s="17">
        <f>F11/F8</f>
        <v>3.8819566638178069E-3</v>
      </c>
      <c r="G13" s="34">
        <f>AVERAGE(B13:F13)</f>
        <v>3.0730492191145794E-3</v>
      </c>
    </row>
    <row r="14" spans="1:9" x14ac:dyDescent="0.25">
      <c r="A14" s="2"/>
      <c r="B14" s="16"/>
      <c r="C14" s="16"/>
      <c r="D14" s="16"/>
      <c r="E14" s="16"/>
      <c r="F14" s="16"/>
      <c r="G14" s="2"/>
      <c r="I14" s="8"/>
    </row>
    <row r="15" spans="1:9" x14ac:dyDescent="0.25">
      <c r="A15" s="2" t="s">
        <v>8</v>
      </c>
      <c r="B15" s="16">
        <v>29</v>
      </c>
      <c r="C15" s="16">
        <v>610</v>
      </c>
      <c r="D15" s="16">
        <v>4933</v>
      </c>
      <c r="E15" s="16">
        <v>9146</v>
      </c>
      <c r="F15" s="16">
        <v>10433</v>
      </c>
      <c r="G15" s="2"/>
      <c r="I15" s="2"/>
    </row>
    <row r="16" spans="1:9" x14ac:dyDescent="0.25">
      <c r="A16" s="2" t="s">
        <v>21</v>
      </c>
      <c r="B16" s="17">
        <f>B15/B8</f>
        <v>9.5019659239842721E-5</v>
      </c>
      <c r="C16" s="17">
        <f>C15/C8</f>
        <v>4.7925832809553738E-4</v>
      </c>
      <c r="D16" s="17">
        <f>D15/D8</f>
        <v>1.5225308641975308E-3</v>
      </c>
      <c r="E16" s="17">
        <f>E15/E8</f>
        <v>1.2987049869362718E-3</v>
      </c>
      <c r="F16" s="17">
        <f>F15/F8</f>
        <v>1.0490171434317027E-3</v>
      </c>
      <c r="G16" s="34">
        <f>AVERAGE(B16:F16)</f>
        <v>8.8890619638017716E-4</v>
      </c>
    </row>
    <row r="17" spans="1:8" x14ac:dyDescent="0.25">
      <c r="A17" s="2" t="s">
        <v>78</v>
      </c>
      <c r="B17" s="31">
        <f>4406/B5</f>
        <v>4.1736606584645928E-3</v>
      </c>
      <c r="C17" s="31">
        <f>95333/C5</f>
        <v>5.9790560877143135E-2</v>
      </c>
      <c r="D17" s="31">
        <v>0.1525</v>
      </c>
      <c r="E17" s="31">
        <v>0.1071</v>
      </c>
      <c r="F17" s="31">
        <v>0.1174</v>
      </c>
      <c r="G17" s="34"/>
    </row>
    <row r="18" spans="1:8" x14ac:dyDescent="0.25">
      <c r="A18" s="2"/>
      <c r="B18" s="16"/>
      <c r="C18" s="16"/>
      <c r="D18" s="16"/>
      <c r="E18" s="16"/>
      <c r="F18" s="16"/>
      <c r="G18" s="2"/>
    </row>
    <row r="19" spans="1:8" x14ac:dyDescent="0.25">
      <c r="A19" s="2" t="s">
        <v>0</v>
      </c>
      <c r="B19" s="16">
        <v>875</v>
      </c>
      <c r="C19" s="16">
        <v>1451</v>
      </c>
      <c r="D19" s="16">
        <v>2644</v>
      </c>
      <c r="E19" s="16"/>
      <c r="F19" s="16">
        <v>5320</v>
      </c>
      <c r="G19" s="2"/>
    </row>
    <row r="20" spans="1:8" x14ac:dyDescent="0.25">
      <c r="A20" s="2" t="s">
        <v>1</v>
      </c>
      <c r="B20" s="32">
        <f>B19/B8</f>
        <v>2.8669724770642203E-3</v>
      </c>
      <c r="C20" s="32">
        <f>C19/C8</f>
        <v>1.1400062853551226E-3</v>
      </c>
      <c r="D20" s="32">
        <f>D19/D8</f>
        <v>8.160493827160494E-4</v>
      </c>
      <c r="E20" s="32"/>
      <c r="F20" s="32">
        <f>F19/F8</f>
        <v>5.3491528832135134E-4</v>
      </c>
      <c r="G20" s="34">
        <f>AVERAGE(B20:F20)</f>
        <v>1.3394858583641858E-3</v>
      </c>
    </row>
    <row r="21" spans="1:8" x14ac:dyDescent="0.25">
      <c r="A21" s="2"/>
      <c r="B21" s="13"/>
      <c r="C21" s="13"/>
      <c r="D21" s="13"/>
      <c r="E21" s="32"/>
      <c r="F21" s="32"/>
      <c r="G21" s="32"/>
    </row>
    <row r="22" spans="1:8" x14ac:dyDescent="0.25">
      <c r="A22" s="20" t="s">
        <v>77</v>
      </c>
      <c r="B22" s="34">
        <v>6.9999999999999999E-4</v>
      </c>
      <c r="C22" s="34">
        <v>2.0000000000000001E-4</v>
      </c>
      <c r="D22" s="34">
        <v>5.9999999999999995E-4</v>
      </c>
      <c r="E22" s="4">
        <v>1E-4</v>
      </c>
      <c r="F22" s="4">
        <v>5.0000000000000001E-4</v>
      </c>
      <c r="G22" s="5"/>
    </row>
    <row r="23" spans="1:8" x14ac:dyDescent="0.25">
      <c r="A23" s="20"/>
      <c r="B23" s="12"/>
      <c r="C23" s="12"/>
      <c r="D23" s="12"/>
      <c r="E23" s="5"/>
      <c r="F23" s="5"/>
      <c r="G23" s="5"/>
    </row>
    <row r="24" spans="1:8" x14ac:dyDescent="0.25">
      <c r="A24" s="18" t="s">
        <v>44</v>
      </c>
      <c r="B24" s="7">
        <f>G7+G13-G16+G20</f>
        <v>5.9236288810985884E-3</v>
      </c>
      <c r="C24" t="s">
        <v>46</v>
      </c>
      <c r="H24" s="6"/>
    </row>
    <row r="25" spans="1:8" x14ac:dyDescent="0.25">
      <c r="A25" s="18" t="s">
        <v>45</v>
      </c>
      <c r="B25" s="7">
        <f>TrackingDifference!L12/100</f>
        <v>5.1800000000000136E-3</v>
      </c>
      <c r="C25" t="s">
        <v>46</v>
      </c>
    </row>
    <row r="26" spans="1:8" x14ac:dyDescent="0.25">
      <c r="A26" s="18" t="s">
        <v>27</v>
      </c>
      <c r="B26" s="7">
        <f>B25-B24</f>
        <v>-7.4362888109857483E-4</v>
      </c>
      <c r="C26" s="18"/>
    </row>
    <row r="28" spans="1:8" x14ac:dyDescent="0.25">
      <c r="A28" s="1" t="s">
        <v>3</v>
      </c>
      <c r="B28" s="30">
        <f>F7+G13-G16+F20</f>
        <v>4.719058311055754E-3</v>
      </c>
    </row>
    <row r="29" spans="1:8" x14ac:dyDescent="0.25">
      <c r="A29" s="2" t="s">
        <v>76</v>
      </c>
      <c r="B29" s="34">
        <f>B28-B24</f>
        <v>-1.2045705700428344E-3</v>
      </c>
    </row>
    <row r="30" spans="1:8" x14ac:dyDescent="0.25">
      <c r="A30" s="1" t="s">
        <v>112</v>
      </c>
      <c r="B30" s="7">
        <f>F7-G16+F20</f>
        <v>1.6460090919411742E-3</v>
      </c>
    </row>
    <row r="32" spans="1:8" x14ac:dyDescent="0.25">
      <c r="A32" s="1" t="s">
        <v>67</v>
      </c>
      <c r="B32" s="30">
        <f>B25+B29</f>
        <v>3.9754294299571792E-3</v>
      </c>
    </row>
    <row r="35" spans="1:6" x14ac:dyDescent="0.25">
      <c r="A35" s="2" t="s">
        <v>79</v>
      </c>
      <c r="B35" s="1"/>
      <c r="C35" s="52">
        <v>4</v>
      </c>
      <c r="D35" s="52">
        <v>74</v>
      </c>
      <c r="E35" s="53">
        <v>302</v>
      </c>
      <c r="F35" s="54">
        <v>492</v>
      </c>
    </row>
    <row r="36" spans="1:6" x14ac:dyDescent="0.25">
      <c r="A36" s="2" t="s">
        <v>80</v>
      </c>
      <c r="B36" s="1"/>
      <c r="C36" s="5">
        <f>C35/C8</f>
        <v>3.1426775612822126E-6</v>
      </c>
      <c r="D36" s="5">
        <f>D35/D8</f>
        <v>2.2839506172839506E-5</v>
      </c>
      <c r="E36" s="5">
        <f>E35/E8</f>
        <v>4.288310803135295E-5</v>
      </c>
      <c r="F36" s="5">
        <f>F35/F8</f>
        <v>4.9469609371072343E-5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2121-1E5C-40E6-84C9-729FC25AD7CB}">
  <dimension ref="A2:J31"/>
  <sheetViews>
    <sheetView zoomScaleNormal="100" workbookViewId="0">
      <selection activeCell="B28" sqref="B28"/>
    </sheetView>
  </sheetViews>
  <sheetFormatPr defaultRowHeight="15" x14ac:dyDescent="0.25"/>
  <cols>
    <col min="1" max="1" width="39.5703125" customWidth="1"/>
    <col min="2" max="7" width="17.7109375" customWidth="1"/>
    <col min="8" max="8" width="26" customWidth="1"/>
    <col min="9" max="9" width="13.28515625" customWidth="1"/>
    <col min="10" max="10" width="91.85546875" customWidth="1"/>
  </cols>
  <sheetData>
    <row r="2" spans="1:10" x14ac:dyDescent="0.25">
      <c r="A2" s="10" t="s">
        <v>15</v>
      </c>
      <c r="B2" s="10"/>
      <c r="C2" s="9"/>
      <c r="D2" s="9"/>
      <c r="E2" s="9"/>
      <c r="F2" s="9"/>
      <c r="G2" s="9"/>
      <c r="H2" s="9"/>
      <c r="J2" s="1" t="s">
        <v>5</v>
      </c>
    </row>
    <row r="3" spans="1:10" x14ac:dyDescent="0.25">
      <c r="A3" t="s">
        <v>20</v>
      </c>
      <c r="J3" t="s">
        <v>93</v>
      </c>
    </row>
    <row r="4" spans="1:10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 t="s">
        <v>87</v>
      </c>
      <c r="J4" s="2" t="s">
        <v>30</v>
      </c>
    </row>
    <row r="5" spans="1:10" x14ac:dyDescent="0.25">
      <c r="A5" s="2" t="s">
        <v>12</v>
      </c>
      <c r="B5" s="16">
        <v>427535</v>
      </c>
      <c r="C5" s="16">
        <v>342236</v>
      </c>
      <c r="D5" s="11">
        <v>304119</v>
      </c>
      <c r="E5" s="11">
        <v>361091</v>
      </c>
      <c r="F5" s="11">
        <v>444594</v>
      </c>
      <c r="G5" s="11">
        <v>307508</v>
      </c>
      <c r="H5" s="1"/>
      <c r="J5" s="2" t="s">
        <v>29</v>
      </c>
    </row>
    <row r="6" spans="1:10" x14ac:dyDescent="0.25">
      <c r="A6" s="2" t="s">
        <v>11</v>
      </c>
      <c r="B6" s="16">
        <v>2914</v>
      </c>
      <c r="C6" s="16">
        <v>2987</v>
      </c>
      <c r="D6" s="11">
        <v>1990</v>
      </c>
      <c r="E6" s="11">
        <v>2533</v>
      </c>
      <c r="F6" s="11">
        <v>3152</v>
      </c>
      <c r="G6" s="11">
        <v>2713</v>
      </c>
      <c r="J6" s="2" t="s">
        <v>33</v>
      </c>
    </row>
    <row r="7" spans="1:10" x14ac:dyDescent="0.25">
      <c r="A7" s="2" t="s">
        <v>13</v>
      </c>
      <c r="B7" s="17">
        <v>7.4000000000000003E-3</v>
      </c>
      <c r="C7" s="17">
        <v>7.4000000000000003E-3</v>
      </c>
      <c r="D7" s="17">
        <v>7.4000000000000003E-3</v>
      </c>
      <c r="E7" s="17">
        <v>7.4000000000000003E-3</v>
      </c>
      <c r="F7" s="17">
        <v>7.4000000000000003E-3</v>
      </c>
      <c r="G7" s="17">
        <v>7.4000000000000003E-3</v>
      </c>
      <c r="H7" s="7">
        <f>AVERAGE(C7:G7)</f>
        <v>7.4000000000000012E-3</v>
      </c>
      <c r="J7" s="2" t="s">
        <v>40</v>
      </c>
    </row>
    <row r="8" spans="1:10" x14ac:dyDescent="0.25">
      <c r="A8" s="2" t="s">
        <v>16</v>
      </c>
      <c r="B8" s="11">
        <f>B6/B7</f>
        <v>393783.78378378379</v>
      </c>
      <c r="C8" s="11">
        <f t="shared" ref="C8:G8" si="0">C6/C7</f>
        <v>403648.64864864864</v>
      </c>
      <c r="D8" s="11">
        <f t="shared" si="0"/>
        <v>268918.91891891893</v>
      </c>
      <c r="E8" s="11">
        <f t="shared" si="0"/>
        <v>342297.29729729728</v>
      </c>
      <c r="F8" s="11">
        <f t="shared" si="0"/>
        <v>425945.94594594592</v>
      </c>
      <c r="G8" s="11">
        <f t="shared" si="0"/>
        <v>366621.6216216216</v>
      </c>
      <c r="H8" s="30"/>
      <c r="J8" s="2" t="s">
        <v>88</v>
      </c>
    </row>
    <row r="9" spans="1:10" x14ac:dyDescent="0.25">
      <c r="B9" s="1"/>
      <c r="C9" s="1"/>
      <c r="D9" s="1"/>
      <c r="E9" s="1"/>
      <c r="F9" s="1"/>
      <c r="G9" s="1"/>
      <c r="H9" s="30"/>
    </row>
    <row r="10" spans="1:10" x14ac:dyDescent="0.25">
      <c r="A10" s="2" t="s">
        <v>7</v>
      </c>
      <c r="B10" s="16">
        <v>9100</v>
      </c>
      <c r="C10" s="16">
        <v>9515</v>
      </c>
      <c r="D10" s="11">
        <v>6692</v>
      </c>
      <c r="E10" s="11">
        <v>7276</v>
      </c>
      <c r="F10" s="11">
        <v>9853</v>
      </c>
      <c r="G10" s="11">
        <v>9792</v>
      </c>
      <c r="H10" s="7"/>
      <c r="J10" t="s">
        <v>66</v>
      </c>
    </row>
    <row r="11" spans="1:10" x14ac:dyDescent="0.25">
      <c r="A11" s="2" t="s">
        <v>9</v>
      </c>
      <c r="B11" s="16">
        <v>1037</v>
      </c>
      <c r="C11" s="16">
        <f>1078+163</f>
        <v>1241</v>
      </c>
      <c r="D11" s="11">
        <v>742</v>
      </c>
      <c r="E11" s="11">
        <v>928</v>
      </c>
      <c r="F11" s="11">
        <v>1434</v>
      </c>
      <c r="G11" s="11">
        <v>2132</v>
      </c>
      <c r="H11" s="7"/>
      <c r="J11" t="s">
        <v>89</v>
      </c>
    </row>
    <row r="12" spans="1:10" x14ac:dyDescent="0.25">
      <c r="A12" s="2" t="s">
        <v>10</v>
      </c>
      <c r="B12" s="14">
        <f t="shared" ref="B12:G12" si="1">B11/B10</f>
        <v>0.11395604395604396</v>
      </c>
      <c r="C12" s="14">
        <f t="shared" si="1"/>
        <v>0.13042564372044141</v>
      </c>
      <c r="D12" s="14">
        <f t="shared" si="1"/>
        <v>0.11087866108786611</v>
      </c>
      <c r="E12" s="14">
        <f t="shared" si="1"/>
        <v>0.12754260582737767</v>
      </c>
      <c r="F12" s="14">
        <f t="shared" si="1"/>
        <v>0.14553942961534558</v>
      </c>
      <c r="G12" s="14">
        <f t="shared" si="1"/>
        <v>0.21772875816993464</v>
      </c>
      <c r="H12" s="7">
        <f>AVERAGE(C12:G12)</f>
        <v>0.14642301968419308</v>
      </c>
      <c r="J12" t="s">
        <v>90</v>
      </c>
    </row>
    <row r="13" spans="1:10" x14ac:dyDescent="0.25">
      <c r="A13" s="20" t="s">
        <v>28</v>
      </c>
      <c r="B13" s="4">
        <f>B11/B8</f>
        <v>2.6334248455730956E-3</v>
      </c>
      <c r="C13" s="4">
        <f t="shared" ref="C13:G13" si="2">C11/C8</f>
        <v>3.0744559758955473E-3</v>
      </c>
      <c r="D13" s="4">
        <f t="shared" si="2"/>
        <v>2.7591959798994974E-3</v>
      </c>
      <c r="E13" s="4">
        <f t="shared" si="2"/>
        <v>2.7110935649427557E-3</v>
      </c>
      <c r="F13" s="4">
        <f t="shared" si="2"/>
        <v>3.3666243654822338E-3</v>
      </c>
      <c r="G13" s="4">
        <f t="shared" si="2"/>
        <v>5.8152598599336535E-3</v>
      </c>
      <c r="H13" s="7">
        <f>AVERAGE(C13:G13)</f>
        <v>3.5453259492307376E-3</v>
      </c>
      <c r="J13" t="s">
        <v>91</v>
      </c>
    </row>
    <row r="14" spans="1:10" x14ac:dyDescent="0.25">
      <c r="A14" s="2"/>
      <c r="B14" s="11"/>
      <c r="C14" s="11"/>
      <c r="D14" s="11"/>
      <c r="E14" s="11"/>
      <c r="F14" s="11"/>
      <c r="G14" s="11"/>
      <c r="H14" s="7"/>
    </row>
    <row r="15" spans="1:10" x14ac:dyDescent="0.25">
      <c r="A15" s="2" t="s">
        <v>8</v>
      </c>
      <c r="B15" s="16">
        <v>848</v>
      </c>
      <c r="C15" s="16">
        <v>1320</v>
      </c>
      <c r="D15" s="11">
        <v>1337</v>
      </c>
      <c r="E15" s="11">
        <v>1589</v>
      </c>
      <c r="F15" s="11">
        <v>2300</v>
      </c>
      <c r="G15" s="11">
        <v>2187</v>
      </c>
      <c r="H15" s="7"/>
    </row>
    <row r="16" spans="1:10" x14ac:dyDescent="0.25">
      <c r="A16" s="2" t="s">
        <v>21</v>
      </c>
      <c r="B16" s="17">
        <f>B15/B8</f>
        <v>2.1534660260809882E-3</v>
      </c>
      <c r="C16" s="17">
        <f>C15/C8</f>
        <v>3.2701707398727822E-3</v>
      </c>
      <c r="D16" s="17">
        <f t="shared" ref="D16:G16" si="3">D15/D8</f>
        <v>4.9717587939698488E-3</v>
      </c>
      <c r="E16" s="17">
        <f t="shared" si="3"/>
        <v>4.6421634425582317E-3</v>
      </c>
      <c r="F16" s="17">
        <f t="shared" si="3"/>
        <v>5.3997461928934013E-3</v>
      </c>
      <c r="G16" s="17">
        <f t="shared" si="3"/>
        <v>5.9652782897161817E-3</v>
      </c>
      <c r="H16" s="7">
        <f>AVERAGE(C16:G16)</f>
        <v>4.8498234918020891E-3</v>
      </c>
    </row>
    <row r="17" spans="1:10" x14ac:dyDescent="0.25">
      <c r="A17" s="2" t="s">
        <v>78</v>
      </c>
      <c r="B17" s="31">
        <f>52694/B5</f>
        <v>0.12325072801057223</v>
      </c>
      <c r="C17" s="31">
        <f>70814/C5</f>
        <v>0.20691569560186537</v>
      </c>
      <c r="D17" s="31">
        <f>58576/D5</f>
        <v>0.19260881431281834</v>
      </c>
      <c r="E17" s="31">
        <v>0.13739999999999999</v>
      </c>
      <c r="F17" s="31">
        <v>0.15029999999999999</v>
      </c>
      <c r="G17" s="31">
        <v>0.21609999999999999</v>
      </c>
      <c r="H17" s="7"/>
    </row>
    <row r="18" spans="1:10" x14ac:dyDescent="0.25">
      <c r="A18" s="2"/>
      <c r="B18" s="11"/>
      <c r="C18" s="11"/>
      <c r="D18" s="11"/>
      <c r="E18" s="11"/>
      <c r="F18" s="11"/>
      <c r="G18" s="11"/>
      <c r="H18" s="7"/>
    </row>
    <row r="19" spans="1:10" x14ac:dyDescent="0.25">
      <c r="A19" s="2" t="s">
        <v>0</v>
      </c>
      <c r="B19" s="2">
        <v>622</v>
      </c>
      <c r="C19" s="16">
        <v>712</v>
      </c>
      <c r="D19" s="11">
        <v>349</v>
      </c>
      <c r="E19" s="11">
        <v>512</v>
      </c>
      <c r="F19" s="11">
        <v>405</v>
      </c>
      <c r="G19" s="11">
        <v>466</v>
      </c>
      <c r="H19" s="7"/>
    </row>
    <row r="20" spans="1:10" x14ac:dyDescent="0.25">
      <c r="A20" s="2" t="s">
        <v>1</v>
      </c>
      <c r="B20" s="4">
        <f>B19/B8</f>
        <v>1.5795470144131778E-3</v>
      </c>
      <c r="C20" s="4">
        <f t="shared" ref="C20:G20" si="4">C19/C8</f>
        <v>1.7639102778707733E-3</v>
      </c>
      <c r="D20" s="4">
        <f t="shared" si="4"/>
        <v>1.2977889447236179E-3</v>
      </c>
      <c r="E20" s="4">
        <f t="shared" si="4"/>
        <v>1.4957757599684169E-3</v>
      </c>
      <c r="F20" s="4">
        <f t="shared" si="4"/>
        <v>9.5082487309644677E-4</v>
      </c>
      <c r="G20" s="4">
        <f t="shared" si="4"/>
        <v>1.2710652414301513E-3</v>
      </c>
      <c r="H20" s="7">
        <f>AVERAGE(C20:G20)</f>
        <v>1.3558730194178812E-3</v>
      </c>
      <c r="J20" s="8"/>
    </row>
    <row r="21" spans="1:10" x14ac:dyDescent="0.25">
      <c r="H21" s="5"/>
      <c r="J21" s="8"/>
    </row>
    <row r="22" spans="1:10" x14ac:dyDescent="0.25">
      <c r="A22" s="20" t="s">
        <v>77</v>
      </c>
      <c r="B22" s="29"/>
      <c r="C22" s="29">
        <v>0</v>
      </c>
      <c r="D22" s="29">
        <v>5.0000000000000001E-4</v>
      </c>
      <c r="E22" s="29">
        <v>0</v>
      </c>
      <c r="F22" s="29">
        <v>2.0000000000000001E-4</v>
      </c>
      <c r="G22" s="29">
        <v>2.0000000000000001E-4</v>
      </c>
      <c r="H22" s="5"/>
      <c r="J22" s="8"/>
    </row>
    <row r="23" spans="1:10" x14ac:dyDescent="0.25">
      <c r="A23" s="20"/>
      <c r="B23" s="29"/>
      <c r="C23" s="29"/>
      <c r="D23" s="12"/>
      <c r="E23" s="12"/>
      <c r="F23" s="5"/>
      <c r="G23" s="5"/>
      <c r="H23" s="5"/>
      <c r="J23" s="8"/>
    </row>
    <row r="24" spans="1:10" x14ac:dyDescent="0.25">
      <c r="A24" s="18" t="s">
        <v>44</v>
      </c>
      <c r="B24" s="28">
        <f>H7+H13-H16+H20</f>
        <v>7.4513754768465298E-3</v>
      </c>
      <c r="C24" t="s">
        <v>46</v>
      </c>
    </row>
    <row r="25" spans="1:10" x14ac:dyDescent="0.25">
      <c r="A25" s="18" t="s">
        <v>45</v>
      </c>
      <c r="B25" s="28">
        <f>TrackingDifference!L25/100</f>
        <v>5.2599999999999912E-3</v>
      </c>
      <c r="C25" t="s">
        <v>46</v>
      </c>
    </row>
    <row r="26" spans="1:10" x14ac:dyDescent="0.25">
      <c r="A26" s="18" t="s">
        <v>27</v>
      </c>
      <c r="B26" s="28">
        <f>B25-B24</f>
        <v>-2.1913754768465386E-3</v>
      </c>
    </row>
    <row r="27" spans="1:10" x14ac:dyDescent="0.25">
      <c r="A27" s="18"/>
      <c r="B27" s="18"/>
    </row>
    <row r="28" spans="1:10" x14ac:dyDescent="0.25">
      <c r="A28" s="19" t="s">
        <v>3</v>
      </c>
      <c r="B28" s="30">
        <f>G7+AVERAGE(B13:G13)+G20-AVERAGE(D16:G16)</f>
        <v>6.8196709936002003E-3</v>
      </c>
    </row>
    <row r="29" spans="1:10" x14ac:dyDescent="0.25">
      <c r="A29" s="2" t="s">
        <v>76</v>
      </c>
      <c r="B29" s="7">
        <f>B28-B24</f>
        <v>-6.3170448324632953E-4</v>
      </c>
    </row>
    <row r="30" spans="1:10" x14ac:dyDescent="0.25">
      <c r="A30" s="1"/>
    </row>
    <row r="31" spans="1:10" x14ac:dyDescent="0.25">
      <c r="A31" s="1" t="s">
        <v>67</v>
      </c>
      <c r="B31" s="30">
        <f>B25+B29</f>
        <v>4.6282955167536617E-3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A48F-C74C-4C2A-9714-F1A50A94B19B}">
  <dimension ref="A2:F36"/>
  <sheetViews>
    <sheetView zoomScaleNormal="100" workbookViewId="0">
      <selection activeCell="B28" sqref="B28"/>
    </sheetView>
  </sheetViews>
  <sheetFormatPr defaultRowHeight="15" x14ac:dyDescent="0.25"/>
  <cols>
    <col min="1" max="1" width="32.28515625" customWidth="1"/>
    <col min="2" max="3" width="17.7109375" customWidth="1"/>
    <col min="4" max="4" width="15" customWidth="1"/>
    <col min="5" max="5" width="13.28515625" customWidth="1"/>
    <col min="6" max="6" width="91.85546875" customWidth="1"/>
  </cols>
  <sheetData>
    <row r="2" spans="1:6" x14ac:dyDescent="0.25">
      <c r="A2" s="10" t="s">
        <v>23</v>
      </c>
      <c r="B2" s="9"/>
      <c r="C2" s="9"/>
      <c r="D2" s="9"/>
      <c r="F2" s="1" t="s">
        <v>5</v>
      </c>
    </row>
    <row r="3" spans="1:6" x14ac:dyDescent="0.25">
      <c r="A3" t="s">
        <v>22</v>
      </c>
      <c r="F3" s="2" t="s">
        <v>31</v>
      </c>
    </row>
    <row r="4" spans="1:6" x14ac:dyDescent="0.25">
      <c r="B4" s="1">
        <v>2018</v>
      </c>
      <c r="C4" s="1">
        <v>2019</v>
      </c>
      <c r="D4" s="1" t="s">
        <v>2</v>
      </c>
      <c r="F4" s="2" t="s">
        <v>65</v>
      </c>
    </row>
    <row r="5" spans="1:6" x14ac:dyDescent="0.25">
      <c r="A5" s="2" t="s">
        <v>12</v>
      </c>
      <c r="B5" s="11">
        <v>321064</v>
      </c>
      <c r="C5" s="11">
        <v>861947</v>
      </c>
      <c r="D5" s="1"/>
      <c r="F5" s="2" t="s">
        <v>41</v>
      </c>
    </row>
    <row r="6" spans="1:6" x14ac:dyDescent="0.25">
      <c r="A6" s="2" t="s">
        <v>11</v>
      </c>
      <c r="B6" s="11">
        <v>267</v>
      </c>
      <c r="C6" s="11">
        <v>1886</v>
      </c>
      <c r="F6" s="8"/>
    </row>
    <row r="7" spans="1:6" x14ac:dyDescent="0.25">
      <c r="A7" s="2" t="s">
        <v>13</v>
      </c>
      <c r="B7" s="17">
        <v>3.5000000000000001E-3</v>
      </c>
      <c r="C7" s="17">
        <v>3.5000000000000001E-3</v>
      </c>
      <c r="D7" s="7">
        <f>AVERAGE(B7:C7)</f>
        <v>3.5000000000000001E-3</v>
      </c>
      <c r="F7" s="3"/>
    </row>
    <row r="8" spans="1:6" x14ac:dyDescent="0.25">
      <c r="A8" s="2" t="s">
        <v>16</v>
      </c>
      <c r="B8" s="11">
        <f t="shared" ref="B8:C8" si="0">B6/B7</f>
        <v>76285.71428571429</v>
      </c>
      <c r="C8" s="11">
        <f t="shared" si="0"/>
        <v>538857.14285714284</v>
      </c>
      <c r="D8" s="1"/>
      <c r="F8" s="8"/>
    </row>
    <row r="9" spans="1:6" x14ac:dyDescent="0.25">
      <c r="B9" s="1"/>
      <c r="C9" s="1"/>
      <c r="D9" s="1"/>
      <c r="F9" s="2"/>
    </row>
    <row r="10" spans="1:6" x14ac:dyDescent="0.25">
      <c r="A10" s="2" t="s">
        <v>7</v>
      </c>
      <c r="B10" s="11">
        <v>2314</v>
      </c>
      <c r="C10" s="11">
        <v>12293</v>
      </c>
      <c r="F10" s="8"/>
    </row>
    <row r="11" spans="1:6" x14ac:dyDescent="0.25">
      <c r="A11" s="2" t="s">
        <v>9</v>
      </c>
      <c r="B11" s="11">
        <v>303</v>
      </c>
      <c r="C11" s="11">
        <v>1482</v>
      </c>
    </row>
    <row r="12" spans="1:6" x14ac:dyDescent="0.25">
      <c r="A12" s="2" t="s">
        <v>10</v>
      </c>
      <c r="B12" s="14">
        <f t="shared" ref="B12:C12" si="1">B11/B10</f>
        <v>0.13094209161624892</v>
      </c>
      <c r="C12" s="14">
        <f t="shared" si="1"/>
        <v>0.12055641421947449</v>
      </c>
      <c r="D12" s="27">
        <f>AVERAGE(B12:C12)</f>
        <v>0.12574925291786171</v>
      </c>
    </row>
    <row r="13" spans="1:6" x14ac:dyDescent="0.25">
      <c r="A13" s="2" t="s">
        <v>37</v>
      </c>
      <c r="B13" s="4">
        <f>B11/B8</f>
        <v>3.97191011235955E-3</v>
      </c>
      <c r="C13" s="4">
        <f>C11/C8</f>
        <v>2.7502651113467656E-3</v>
      </c>
      <c r="D13" s="7">
        <f>AVERAGE(B13:C13)</f>
        <v>3.361087611853158E-3</v>
      </c>
    </row>
    <row r="14" spans="1:6" x14ac:dyDescent="0.25">
      <c r="A14" s="2"/>
      <c r="B14" s="11"/>
      <c r="C14" s="11"/>
    </row>
    <row r="15" spans="1:6" x14ac:dyDescent="0.25">
      <c r="A15" s="2" t="s">
        <v>8</v>
      </c>
      <c r="B15" s="11">
        <v>3</v>
      </c>
      <c r="C15" s="11">
        <v>250</v>
      </c>
    </row>
    <row r="16" spans="1:6" x14ac:dyDescent="0.25">
      <c r="A16" s="2" t="s">
        <v>21</v>
      </c>
      <c r="B16" s="17">
        <f>B15/B8</f>
        <v>3.9325842696629214E-5</v>
      </c>
      <c r="C16" s="17">
        <f>C15/C8</f>
        <v>4.6394485683987275E-4</v>
      </c>
      <c r="D16" s="7">
        <f>AVERAGE(B16:C16)</f>
        <v>2.5163534976825098E-4</v>
      </c>
    </row>
    <row r="17" spans="1:6" x14ac:dyDescent="0.25">
      <c r="A17" s="2" t="s">
        <v>78</v>
      </c>
      <c r="B17" s="31">
        <v>6.0000000000000001E-3</v>
      </c>
      <c r="C17" s="31">
        <v>0.1915</v>
      </c>
      <c r="D17" s="7"/>
    </row>
    <row r="18" spans="1:6" x14ac:dyDescent="0.25">
      <c r="A18" s="2"/>
      <c r="B18" s="11"/>
      <c r="C18" s="11"/>
    </row>
    <row r="19" spans="1:6" x14ac:dyDescent="0.25">
      <c r="A19" s="2" t="s">
        <v>0</v>
      </c>
      <c r="B19" s="11">
        <v>187</v>
      </c>
      <c r="C19" s="11">
        <v>271</v>
      </c>
    </row>
    <row r="20" spans="1:6" x14ac:dyDescent="0.25">
      <c r="A20" s="2" t="s">
        <v>1</v>
      </c>
      <c r="B20" s="4">
        <f>B19/B8</f>
        <v>2.4513108614232209E-3</v>
      </c>
      <c r="C20" s="4">
        <f>C19/C8</f>
        <v>5.0291622481442202E-4</v>
      </c>
      <c r="D20" s="6">
        <f>AVERAGE(B20:C20)</f>
        <v>1.4771135431188216E-3</v>
      </c>
      <c r="F20" s="8"/>
    </row>
    <row r="21" spans="1:6" x14ac:dyDescent="0.25">
      <c r="D21" s="5"/>
      <c r="F21" s="8"/>
    </row>
    <row r="22" spans="1:6" x14ac:dyDescent="0.25">
      <c r="A22" s="20" t="s">
        <v>77</v>
      </c>
      <c r="B22" s="7">
        <v>2.9999999999999997E-4</v>
      </c>
      <c r="C22" s="7">
        <v>2.0000000000000001E-4</v>
      </c>
      <c r="D22" s="5"/>
      <c r="F22" s="8"/>
    </row>
    <row r="23" spans="1:6" x14ac:dyDescent="0.25">
      <c r="C23" s="5"/>
      <c r="D23" s="5"/>
      <c r="F23" s="8"/>
    </row>
    <row r="24" spans="1:6" x14ac:dyDescent="0.25">
      <c r="A24" s="18" t="s">
        <v>43</v>
      </c>
      <c r="B24" s="6">
        <f>D7+D13-D16+D20</f>
        <v>8.0865658052037288E-3</v>
      </c>
      <c r="C24" s="5"/>
      <c r="D24" s="5"/>
      <c r="F24" s="8"/>
    </row>
    <row r="25" spans="1:6" x14ac:dyDescent="0.25">
      <c r="A25" s="18"/>
      <c r="F25" s="8"/>
    </row>
    <row r="26" spans="1:6" x14ac:dyDescent="0.25">
      <c r="A26" s="18" t="s">
        <v>27</v>
      </c>
      <c r="E26" s="6"/>
      <c r="F26" s="8"/>
    </row>
    <row r="27" spans="1:6" x14ac:dyDescent="0.25">
      <c r="E27" s="6"/>
      <c r="F27" s="8"/>
    </row>
    <row r="28" spans="1:6" x14ac:dyDescent="0.25">
      <c r="A28" s="1" t="s">
        <v>3</v>
      </c>
      <c r="B28" s="15">
        <f>D7+C13-C16+C20</f>
        <v>6.2892364793213154E-3</v>
      </c>
      <c r="E28" s="6"/>
    </row>
    <row r="29" spans="1:6" x14ac:dyDescent="0.25">
      <c r="A29" s="1" t="s">
        <v>112</v>
      </c>
      <c r="B29" s="4">
        <f>D7-C16+C20</f>
        <v>3.5389713679745494E-3</v>
      </c>
      <c r="C29" s="5"/>
      <c r="D29" s="5"/>
      <c r="E29" s="6"/>
    </row>
    <row r="30" spans="1:6" x14ac:dyDescent="0.25">
      <c r="A30" s="1"/>
      <c r="B30" s="5"/>
      <c r="C30" s="5"/>
      <c r="D30" s="5"/>
      <c r="E30" s="6"/>
    </row>
    <row r="31" spans="1:6" x14ac:dyDescent="0.25">
      <c r="A31" s="1" t="s">
        <v>94</v>
      </c>
      <c r="B31" s="15">
        <f>B28-0.05%</f>
        <v>5.789236479321315E-3</v>
      </c>
      <c r="C31" s="5"/>
      <c r="D31" s="5"/>
      <c r="E31" s="6"/>
    </row>
    <row r="32" spans="1:6" x14ac:dyDescent="0.25">
      <c r="A32" s="1"/>
      <c r="B32" s="5"/>
      <c r="C32" s="5"/>
      <c r="D32" s="5"/>
      <c r="E32" s="6"/>
    </row>
    <row r="33" spans="1:5" x14ac:dyDescent="0.25">
      <c r="B33" s="5"/>
      <c r="C33" s="5"/>
      <c r="D33" s="5"/>
      <c r="E33" s="6"/>
    </row>
    <row r="34" spans="1:5" x14ac:dyDescent="0.25">
      <c r="A34" s="1"/>
      <c r="B34" s="5"/>
      <c r="C34" s="5"/>
      <c r="D34" s="5"/>
      <c r="E34" s="6"/>
    </row>
    <row r="35" spans="1:5" x14ac:dyDescent="0.25">
      <c r="A35" s="1"/>
      <c r="B35" s="5"/>
      <c r="C35" s="5"/>
      <c r="D35" s="5"/>
      <c r="E35" s="6"/>
    </row>
    <row r="36" spans="1:5" x14ac:dyDescent="0.25">
      <c r="A36" s="1"/>
      <c r="B36" s="5"/>
      <c r="C36" s="5"/>
      <c r="D36" s="5"/>
      <c r="E3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39DF-ECA7-4B8A-BED1-414B316C3BE0}">
  <dimension ref="A2:J31"/>
  <sheetViews>
    <sheetView workbookViewId="0">
      <selection activeCell="B28" sqref="B28"/>
    </sheetView>
  </sheetViews>
  <sheetFormatPr defaultRowHeight="15" x14ac:dyDescent="0.25"/>
  <cols>
    <col min="1" max="1" width="39.5703125" customWidth="1"/>
    <col min="2" max="7" width="17.7109375" customWidth="1"/>
    <col min="8" max="8" width="26" customWidth="1"/>
    <col min="9" max="9" width="13.28515625" customWidth="1"/>
    <col min="10" max="10" width="91.85546875" customWidth="1"/>
  </cols>
  <sheetData>
    <row r="2" spans="1:10" x14ac:dyDescent="0.25">
      <c r="A2" s="10" t="s">
        <v>99</v>
      </c>
      <c r="B2" s="10"/>
      <c r="C2" s="9"/>
      <c r="D2" s="9"/>
      <c r="E2" s="9"/>
      <c r="F2" s="9"/>
      <c r="G2" s="9"/>
      <c r="H2" s="9"/>
      <c r="J2" s="1" t="s">
        <v>5</v>
      </c>
    </row>
    <row r="3" spans="1:10" x14ac:dyDescent="0.25">
      <c r="A3" t="s">
        <v>103</v>
      </c>
      <c r="J3" s="2" t="s">
        <v>35</v>
      </c>
    </row>
    <row r="4" spans="1:10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 t="s">
        <v>87</v>
      </c>
      <c r="J4" t="s">
        <v>102</v>
      </c>
    </row>
    <row r="5" spans="1:10" x14ac:dyDescent="0.25">
      <c r="A5" s="2" t="s">
        <v>12</v>
      </c>
      <c r="B5" s="16">
        <v>4734561</v>
      </c>
      <c r="C5" s="16">
        <v>5047997</v>
      </c>
      <c r="D5" s="11">
        <v>3166140</v>
      </c>
      <c r="E5" s="11">
        <v>4715029</v>
      </c>
      <c r="F5" s="11">
        <v>6294155</v>
      </c>
      <c r="G5" s="11">
        <v>5078010</v>
      </c>
      <c r="H5" s="1"/>
      <c r="J5" s="2"/>
    </row>
    <row r="6" spans="1:10" x14ac:dyDescent="0.25">
      <c r="A6" s="2" t="s">
        <v>11</v>
      </c>
      <c r="B6" s="16">
        <v>42886</v>
      </c>
      <c r="C6" s="16">
        <v>42087</v>
      </c>
      <c r="D6" s="11">
        <v>30851</v>
      </c>
      <c r="E6" s="11">
        <v>32797</v>
      </c>
      <c r="F6" s="11">
        <v>42293</v>
      </c>
      <c r="G6" s="11">
        <v>40293</v>
      </c>
      <c r="J6" s="2" t="s">
        <v>101</v>
      </c>
    </row>
    <row r="7" spans="1:10" x14ac:dyDescent="0.25">
      <c r="A7" s="2" t="s">
        <v>13</v>
      </c>
      <c r="B7" s="17">
        <v>7.4999999999999997E-3</v>
      </c>
      <c r="C7" s="17">
        <v>7.4999999999999997E-3</v>
      </c>
      <c r="D7" s="17">
        <v>7.4999999999999997E-3</v>
      </c>
      <c r="E7" s="17">
        <v>7.4999999999999997E-3</v>
      </c>
      <c r="F7" s="17">
        <v>7.4999999999999997E-3</v>
      </c>
      <c r="G7" s="17">
        <v>7.4999999999999997E-3</v>
      </c>
      <c r="H7" s="7">
        <f>AVERAGE(C7:G7)</f>
        <v>7.4999999999999997E-3</v>
      </c>
      <c r="J7" s="2"/>
    </row>
    <row r="8" spans="1:10" x14ac:dyDescent="0.25">
      <c r="A8" s="2" t="s">
        <v>16</v>
      </c>
      <c r="B8" s="11">
        <f>B6/B7</f>
        <v>5718133.333333334</v>
      </c>
      <c r="C8" s="11">
        <f t="shared" ref="C8:G8" si="0">C6/C7</f>
        <v>5611600</v>
      </c>
      <c r="D8" s="11">
        <f t="shared" si="0"/>
        <v>4113466.666666667</v>
      </c>
      <c r="E8" s="11">
        <f t="shared" si="0"/>
        <v>4372933.333333334</v>
      </c>
      <c r="F8" s="11">
        <f t="shared" si="0"/>
        <v>5639066.666666667</v>
      </c>
      <c r="G8" s="11">
        <f t="shared" si="0"/>
        <v>5372400</v>
      </c>
      <c r="H8" s="30"/>
      <c r="J8" s="2" t="s">
        <v>119</v>
      </c>
    </row>
    <row r="9" spans="1:10" x14ac:dyDescent="0.25">
      <c r="B9" s="1"/>
      <c r="C9" s="1"/>
      <c r="D9" s="1"/>
      <c r="E9" s="1"/>
      <c r="F9" s="1"/>
      <c r="G9" s="1"/>
      <c r="H9" s="30"/>
    </row>
    <row r="10" spans="1:10" x14ac:dyDescent="0.25">
      <c r="A10" s="2" t="s">
        <v>7</v>
      </c>
      <c r="B10" s="16">
        <v>167354</v>
      </c>
      <c r="C10" s="16">
        <v>163206</v>
      </c>
      <c r="D10" s="11">
        <v>123158</v>
      </c>
      <c r="E10" s="11">
        <v>115883</v>
      </c>
      <c r="F10" s="11">
        <v>144585</v>
      </c>
      <c r="G10" s="11">
        <v>152689</v>
      </c>
      <c r="H10" s="7"/>
    </row>
    <row r="11" spans="1:10" x14ac:dyDescent="0.25">
      <c r="A11" s="2" t="s">
        <v>9</v>
      </c>
      <c r="B11" s="16">
        <v>19009</v>
      </c>
      <c r="C11" s="16">
        <v>17470</v>
      </c>
      <c r="D11" s="11">
        <v>13933</v>
      </c>
      <c r="E11" s="11">
        <v>14701</v>
      </c>
      <c r="F11" s="11">
        <v>18143</v>
      </c>
      <c r="G11" s="11">
        <v>21015</v>
      </c>
      <c r="H11" s="7"/>
    </row>
    <row r="12" spans="1:10" x14ac:dyDescent="0.25">
      <c r="A12" s="2" t="s">
        <v>10</v>
      </c>
      <c r="B12" s="14">
        <f t="shared" ref="B12:G12" si="1">B11/B10</f>
        <v>0.11358557309654983</v>
      </c>
      <c r="C12" s="14">
        <f t="shared" si="1"/>
        <v>0.10704263323652316</v>
      </c>
      <c r="D12" s="14">
        <f t="shared" si="1"/>
        <v>0.11313109988794881</v>
      </c>
      <c r="E12" s="14">
        <f t="shared" si="1"/>
        <v>0.12686071296048601</v>
      </c>
      <c r="F12" s="14">
        <f t="shared" si="1"/>
        <v>0.12548327973164575</v>
      </c>
      <c r="G12" s="14">
        <f t="shared" si="1"/>
        <v>0.13763270438603958</v>
      </c>
      <c r="H12" s="7">
        <f>AVERAGE(C12:G12)</f>
        <v>0.12203008604052865</v>
      </c>
    </row>
    <row r="13" spans="1:10" x14ac:dyDescent="0.25">
      <c r="A13" s="20" t="s">
        <v>28</v>
      </c>
      <c r="B13" s="4">
        <f>B11/B8</f>
        <v>3.3243366133470127E-3</v>
      </c>
      <c r="C13" s="4">
        <f t="shared" ref="C13:G13" si="2">C11/C8</f>
        <v>3.1131940979399813E-3</v>
      </c>
      <c r="D13" s="4">
        <f t="shared" si="2"/>
        <v>3.3871673527600399E-3</v>
      </c>
      <c r="E13" s="4">
        <f t="shared" si="2"/>
        <v>3.3618166295697771E-3</v>
      </c>
      <c r="F13" s="4">
        <f t="shared" si="2"/>
        <v>3.2173763979854819E-3</v>
      </c>
      <c r="G13" s="4">
        <f t="shared" si="2"/>
        <v>3.9116595934777752E-3</v>
      </c>
      <c r="H13" s="7">
        <f>AVERAGE(C13:G13)</f>
        <v>3.3982428143466111E-3</v>
      </c>
    </row>
    <row r="14" spans="1:10" x14ac:dyDescent="0.25">
      <c r="A14" s="2"/>
      <c r="B14" s="11"/>
      <c r="C14" s="11"/>
      <c r="D14" s="11"/>
      <c r="E14" s="11"/>
      <c r="F14" s="11"/>
      <c r="G14" s="11"/>
      <c r="H14" s="7"/>
    </row>
    <row r="15" spans="1:10" x14ac:dyDescent="0.25">
      <c r="A15" s="2" t="s">
        <v>8</v>
      </c>
      <c r="B15" s="16">
        <v>2138</v>
      </c>
      <c r="C15" s="16">
        <v>3036</v>
      </c>
      <c r="D15" s="11">
        <v>3580</v>
      </c>
      <c r="E15" s="11">
        <v>3125</v>
      </c>
      <c r="F15" s="11">
        <v>3040</v>
      </c>
      <c r="G15" s="11">
        <v>3477</v>
      </c>
      <c r="H15" s="7"/>
    </row>
    <row r="16" spans="1:10" x14ac:dyDescent="0.25">
      <c r="A16" s="2" t="s">
        <v>21</v>
      </c>
      <c r="B16" s="17">
        <f>B15/B8</f>
        <v>3.7389824185048729E-4</v>
      </c>
      <c r="C16" s="17">
        <f>C15/C8</f>
        <v>5.4102216836552849E-4</v>
      </c>
      <c r="D16" s="17">
        <f t="shared" ref="D16:G16" si="3">D15/D8</f>
        <v>8.7031214547340441E-4</v>
      </c>
      <c r="E16" s="17">
        <f t="shared" si="3"/>
        <v>7.1462328871543118E-4</v>
      </c>
      <c r="F16" s="17">
        <f t="shared" si="3"/>
        <v>5.390963043529662E-4</v>
      </c>
      <c r="G16" s="17">
        <f t="shared" si="3"/>
        <v>6.4719678356041995E-4</v>
      </c>
      <c r="H16" s="7">
        <f>AVERAGE(C16:G16)</f>
        <v>6.6245013809355002E-4</v>
      </c>
    </row>
    <row r="17" spans="1:10" x14ac:dyDescent="0.25">
      <c r="A17" s="2" t="s">
        <v>78</v>
      </c>
      <c r="B17" s="31">
        <f>283768/B5</f>
        <v>5.9935440688165177E-2</v>
      </c>
      <c r="C17" s="31">
        <f>585666/C5</f>
        <v>0.1160194825789318</v>
      </c>
      <c r="D17" s="31">
        <f>485017/D5</f>
        <v>0.15318874086427006</v>
      </c>
      <c r="E17" s="31">
        <v>0.14849999999999999</v>
      </c>
      <c r="F17" s="31">
        <v>0.17469999999999999</v>
      </c>
      <c r="G17" s="31">
        <v>0.12590000000000001</v>
      </c>
      <c r="H17" s="7"/>
    </row>
    <row r="18" spans="1:10" x14ac:dyDescent="0.25">
      <c r="A18" s="2"/>
      <c r="B18" s="11"/>
      <c r="C18" s="11"/>
      <c r="D18" s="11"/>
      <c r="E18" s="11"/>
      <c r="F18" s="11"/>
      <c r="G18" s="11"/>
      <c r="H18" s="7"/>
    </row>
    <row r="19" spans="1:10" x14ac:dyDescent="0.25">
      <c r="A19" s="2" t="s">
        <v>0</v>
      </c>
      <c r="B19" s="2">
        <v>7297</v>
      </c>
      <c r="C19" s="16">
        <v>4304</v>
      </c>
      <c r="D19" s="11">
        <v>2947</v>
      </c>
      <c r="E19" s="11">
        <v>2419</v>
      </c>
      <c r="F19" s="11"/>
      <c r="G19" s="11">
        <v>1766</v>
      </c>
      <c r="H19" s="7"/>
    </row>
    <row r="20" spans="1:10" x14ac:dyDescent="0.25">
      <c r="A20" s="2" t="s">
        <v>1</v>
      </c>
      <c r="B20" s="4">
        <f>B19/B8</f>
        <v>1.2761157487291889E-3</v>
      </c>
      <c r="C20" s="4">
        <f t="shared" ref="C20:G20" si="4">C19/C8</f>
        <v>7.6698267873690211E-4</v>
      </c>
      <c r="D20" s="4">
        <f t="shared" si="4"/>
        <v>7.1642734433243654E-4</v>
      </c>
      <c r="E20" s="4">
        <f t="shared" si="4"/>
        <v>5.5317559532884095E-4</v>
      </c>
      <c r="F20" s="4">
        <f t="shared" si="4"/>
        <v>0</v>
      </c>
      <c r="G20" s="4">
        <f t="shared" si="4"/>
        <v>3.2871714689896507E-4</v>
      </c>
      <c r="H20" s="7">
        <f>AVERAGE(C20:G20)</f>
        <v>4.7306055305942896E-4</v>
      </c>
      <c r="J20" s="8"/>
    </row>
    <row r="21" spans="1:10" x14ac:dyDescent="0.25">
      <c r="H21" s="5"/>
      <c r="J21" s="8"/>
    </row>
    <row r="22" spans="1:10" x14ac:dyDescent="0.25">
      <c r="A22" s="20" t="s">
        <v>77</v>
      </c>
      <c r="B22" s="29"/>
      <c r="C22" s="29">
        <v>1E-4</v>
      </c>
      <c r="D22" s="29">
        <v>1E-4</v>
      </c>
      <c r="E22" s="29">
        <v>2.0000000000000001E-4</v>
      </c>
      <c r="F22" s="29">
        <v>1E-4</v>
      </c>
      <c r="G22" s="29">
        <v>5.0000000000000001E-4</v>
      </c>
      <c r="H22" s="5"/>
      <c r="J22" s="8"/>
    </row>
    <row r="23" spans="1:10" x14ac:dyDescent="0.25">
      <c r="A23" s="20"/>
      <c r="B23" s="29"/>
      <c r="C23" s="29"/>
      <c r="D23" s="12"/>
      <c r="E23" s="12"/>
      <c r="F23" s="5"/>
      <c r="G23" s="5"/>
      <c r="H23" s="5"/>
      <c r="J23" s="8"/>
    </row>
    <row r="24" spans="1:10" x14ac:dyDescent="0.25">
      <c r="A24" s="18" t="s">
        <v>44</v>
      </c>
      <c r="B24" s="28">
        <f>H7+H13-H16+H20</f>
        <v>1.0708853229312488E-2</v>
      </c>
      <c r="C24" t="s">
        <v>46</v>
      </c>
    </row>
    <row r="25" spans="1:10" x14ac:dyDescent="0.25">
      <c r="A25" s="18" t="s">
        <v>45</v>
      </c>
      <c r="B25" s="28">
        <f>TrackingDifference!L32/100</f>
        <v>1.0720000000000002E-2</v>
      </c>
      <c r="C25" t="s">
        <v>46</v>
      </c>
    </row>
    <row r="26" spans="1:10" x14ac:dyDescent="0.25">
      <c r="A26" s="18" t="s">
        <v>27</v>
      </c>
      <c r="B26" s="28">
        <f>B25-B24</f>
        <v>1.1146770687513879E-5</v>
      </c>
    </row>
    <row r="27" spans="1:10" x14ac:dyDescent="0.25">
      <c r="A27" s="18"/>
      <c r="B27" s="18"/>
    </row>
    <row r="28" spans="1:10" x14ac:dyDescent="0.25">
      <c r="A28" s="19" t="s">
        <v>3</v>
      </c>
      <c r="B28" s="30">
        <f>0.18%+AVERAGE(B13:G13)+G20-AVERAGE(F16:G16)</f>
        <v>4.9214957171222831E-3</v>
      </c>
    </row>
    <row r="29" spans="1:10" x14ac:dyDescent="0.25">
      <c r="A29" s="2" t="s">
        <v>76</v>
      </c>
      <c r="B29" s="7">
        <f>B28-B24</f>
        <v>-5.7873575121902051E-3</v>
      </c>
    </row>
    <row r="30" spans="1:10" x14ac:dyDescent="0.25">
      <c r="A30" s="1"/>
    </row>
    <row r="31" spans="1:10" x14ac:dyDescent="0.25">
      <c r="A31" s="1" t="s">
        <v>67</v>
      </c>
      <c r="B31" s="30">
        <f>B25+B29</f>
        <v>4.932642487809797E-3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9972-EF6D-435D-B893-B5209367B0F1}">
  <dimension ref="A2:J31"/>
  <sheetViews>
    <sheetView workbookViewId="0">
      <selection activeCell="B28" sqref="B28"/>
    </sheetView>
  </sheetViews>
  <sheetFormatPr defaultRowHeight="15" x14ac:dyDescent="0.25"/>
  <cols>
    <col min="1" max="1" width="39.5703125" customWidth="1"/>
    <col min="2" max="7" width="17.7109375" customWidth="1"/>
    <col min="8" max="8" width="26" customWidth="1"/>
    <col min="9" max="9" width="13.28515625" customWidth="1"/>
    <col min="10" max="10" width="91.85546875" customWidth="1"/>
  </cols>
  <sheetData>
    <row r="2" spans="1:10" x14ac:dyDescent="0.25">
      <c r="A2" s="10" t="s">
        <v>104</v>
      </c>
      <c r="B2" s="10"/>
      <c r="C2" s="9"/>
      <c r="D2" s="9"/>
      <c r="E2" s="9"/>
      <c r="F2" s="9"/>
      <c r="G2" s="9"/>
      <c r="H2" s="9"/>
      <c r="J2" s="1" t="s">
        <v>5</v>
      </c>
    </row>
    <row r="3" spans="1:10" x14ac:dyDescent="0.25">
      <c r="A3" t="s">
        <v>19</v>
      </c>
      <c r="J3" s="2" t="s">
        <v>120</v>
      </c>
    </row>
    <row r="4" spans="1:10" x14ac:dyDescent="0.25">
      <c r="B4" s="1">
        <v>2014</v>
      </c>
      <c r="C4" s="1">
        <v>2015</v>
      </c>
      <c r="D4" s="1">
        <v>2016</v>
      </c>
      <c r="E4" s="1">
        <v>2017</v>
      </c>
      <c r="F4" s="1">
        <v>2018</v>
      </c>
      <c r="G4" s="1">
        <v>2019</v>
      </c>
      <c r="H4" s="1" t="s">
        <v>87</v>
      </c>
    </row>
    <row r="5" spans="1:10" x14ac:dyDescent="0.25">
      <c r="A5" s="2" t="s">
        <v>12</v>
      </c>
      <c r="B5" s="16">
        <v>350218</v>
      </c>
      <c r="C5" s="16">
        <v>324297</v>
      </c>
      <c r="D5" s="11">
        <v>405793</v>
      </c>
      <c r="E5" s="11">
        <v>1117955</v>
      </c>
      <c r="F5" s="11">
        <v>913207</v>
      </c>
      <c r="G5" s="11">
        <v>736031</v>
      </c>
      <c r="H5" s="1"/>
      <c r="J5" s="2"/>
    </row>
    <row r="6" spans="1:10" x14ac:dyDescent="0.25">
      <c r="A6" s="2" t="s">
        <v>11</v>
      </c>
      <c r="B6" s="16">
        <v>2308</v>
      </c>
      <c r="C6" s="16">
        <v>2382</v>
      </c>
      <c r="D6" s="11">
        <v>2122</v>
      </c>
      <c r="E6" s="11">
        <v>4064</v>
      </c>
      <c r="F6" s="11">
        <v>7478</v>
      </c>
      <c r="G6" s="11">
        <v>4948</v>
      </c>
      <c r="J6" s="2" t="s">
        <v>101</v>
      </c>
    </row>
    <row r="7" spans="1:10" x14ac:dyDescent="0.25">
      <c r="A7" s="2" t="s">
        <v>13</v>
      </c>
      <c r="B7" s="17">
        <v>7.0000000000000001E-3</v>
      </c>
      <c r="C7" s="17">
        <v>6.7999999999999996E-3</v>
      </c>
      <c r="D7" s="17">
        <v>6.7999999999999996E-3</v>
      </c>
      <c r="E7" s="17">
        <v>6.7999999999999996E-3</v>
      </c>
      <c r="F7" s="17">
        <v>6.7999999999999996E-3</v>
      </c>
      <c r="G7" s="17">
        <v>6.7999999999999996E-3</v>
      </c>
      <c r="H7" s="7">
        <f>AVERAGE(C7:G7)</f>
        <v>6.7999999999999988E-3</v>
      </c>
      <c r="J7" s="2"/>
    </row>
    <row r="8" spans="1:10" x14ac:dyDescent="0.25">
      <c r="A8" s="2" t="s">
        <v>16</v>
      </c>
      <c r="B8" s="11">
        <f>B6/B7</f>
        <v>329714.28571428568</v>
      </c>
      <c r="C8" s="11">
        <f t="shared" ref="C8:G8" si="0">C6/C7</f>
        <v>350294.11764705885</v>
      </c>
      <c r="D8" s="11">
        <f t="shared" si="0"/>
        <v>312058.82352941181</v>
      </c>
      <c r="E8" s="11">
        <f t="shared" si="0"/>
        <v>597647.0588235294</v>
      </c>
      <c r="F8" s="11">
        <f t="shared" si="0"/>
        <v>1099705.8823529412</v>
      </c>
      <c r="G8" s="11">
        <f t="shared" si="0"/>
        <v>727647.0588235294</v>
      </c>
      <c r="H8" s="30"/>
      <c r="J8" s="2"/>
    </row>
    <row r="9" spans="1:10" x14ac:dyDescent="0.25">
      <c r="B9" s="1"/>
      <c r="C9" s="1"/>
      <c r="D9" s="1"/>
      <c r="E9" s="1"/>
      <c r="F9" s="1"/>
      <c r="G9" s="1"/>
      <c r="H9" s="30"/>
    </row>
    <row r="10" spans="1:10" x14ac:dyDescent="0.25">
      <c r="A10" s="2" t="s">
        <v>7</v>
      </c>
      <c r="B10" s="16">
        <v>8538</v>
      </c>
      <c r="C10" s="16">
        <v>10266</v>
      </c>
      <c r="D10" s="11">
        <v>9688</v>
      </c>
      <c r="E10" s="11">
        <v>16633</v>
      </c>
      <c r="F10" s="11">
        <v>28168</v>
      </c>
      <c r="G10" s="11">
        <v>22036</v>
      </c>
      <c r="H10" s="7"/>
    </row>
    <row r="11" spans="1:10" x14ac:dyDescent="0.25">
      <c r="A11" s="2" t="s">
        <v>9</v>
      </c>
      <c r="B11" s="16">
        <v>950</v>
      </c>
      <c r="C11" s="16">
        <v>1134</v>
      </c>
      <c r="D11" s="11">
        <v>1113</v>
      </c>
      <c r="E11" s="11">
        <v>2015</v>
      </c>
      <c r="F11" s="11">
        <v>4030</v>
      </c>
      <c r="G11" s="11">
        <v>3336</v>
      </c>
      <c r="H11" s="7"/>
    </row>
    <row r="12" spans="1:10" x14ac:dyDescent="0.25">
      <c r="A12" s="2" t="s">
        <v>10</v>
      </c>
      <c r="B12" s="14">
        <f t="shared" ref="B12:G12" si="1">B11/B10</f>
        <v>0.11126727570859686</v>
      </c>
      <c r="C12" s="14">
        <f t="shared" si="1"/>
        <v>0.11046171829339567</v>
      </c>
      <c r="D12" s="14">
        <f t="shared" si="1"/>
        <v>0.11488439306358382</v>
      </c>
      <c r="E12" s="14">
        <f t="shared" si="1"/>
        <v>0.12114471231888414</v>
      </c>
      <c r="F12" s="14">
        <f>F11/F10</f>
        <v>0.14307015052541891</v>
      </c>
      <c r="G12" s="14">
        <f t="shared" si="1"/>
        <v>0.15138863677618442</v>
      </c>
      <c r="H12" s="7">
        <f>AVERAGE(C12:G12)</f>
        <v>0.12818992219549338</v>
      </c>
    </row>
    <row r="13" spans="1:10" x14ac:dyDescent="0.25">
      <c r="A13" s="20" t="s">
        <v>28</v>
      </c>
      <c r="B13" s="4">
        <f>B11/B8</f>
        <v>2.8812824956672449E-3</v>
      </c>
      <c r="C13" s="4">
        <f t="shared" ref="C13:G13" si="2">C11/C8</f>
        <v>3.2372795969773296E-3</v>
      </c>
      <c r="D13" s="4">
        <f t="shared" si="2"/>
        <v>3.5666352497643727E-3</v>
      </c>
      <c r="E13" s="4">
        <f t="shared" si="2"/>
        <v>3.3715551181102365E-3</v>
      </c>
      <c r="F13" s="4">
        <f>F11/F8</f>
        <v>3.6646162075421236E-3</v>
      </c>
      <c r="G13" s="4">
        <f t="shared" si="2"/>
        <v>4.58464025869038E-3</v>
      </c>
      <c r="H13" s="7">
        <f>AVERAGE(C13:G13)</f>
        <v>3.6849452862168881E-3</v>
      </c>
    </row>
    <row r="14" spans="1:10" x14ac:dyDescent="0.25">
      <c r="A14" s="2"/>
      <c r="B14" s="11"/>
      <c r="C14" s="11"/>
      <c r="D14" s="11"/>
      <c r="E14" s="11"/>
      <c r="F14" s="11"/>
      <c r="G14" s="11"/>
      <c r="H14" s="7"/>
    </row>
    <row r="15" spans="1:10" x14ac:dyDescent="0.25">
      <c r="A15" s="2" t="s">
        <v>8</v>
      </c>
      <c r="B15" s="16">
        <v>93</v>
      </c>
      <c r="C15" s="16">
        <v>172</v>
      </c>
      <c r="D15" s="11">
        <v>188</v>
      </c>
      <c r="E15" s="11">
        <v>267</v>
      </c>
      <c r="F15" s="11">
        <v>495</v>
      </c>
      <c r="G15" s="11">
        <v>335</v>
      </c>
      <c r="H15" s="7"/>
    </row>
    <row r="16" spans="1:10" x14ac:dyDescent="0.25">
      <c r="A16" s="2" t="s">
        <v>21</v>
      </c>
      <c r="B16" s="17">
        <f>B15/B8</f>
        <v>2.8206239168110923E-4</v>
      </c>
      <c r="C16" s="17">
        <f>C15/C8</f>
        <v>4.9101595298068842E-4</v>
      </c>
      <c r="D16" s="17">
        <f t="shared" ref="D16:G16" si="3">D15/D8</f>
        <v>6.0245051837888781E-4</v>
      </c>
      <c r="E16" s="17">
        <f t="shared" si="3"/>
        <v>4.4675196850393699E-4</v>
      </c>
      <c r="F16" s="17">
        <f>F15/F8</f>
        <v>4.5012035303557097E-4</v>
      </c>
      <c r="G16" s="17">
        <f t="shared" si="3"/>
        <v>4.6038803556992726E-4</v>
      </c>
      <c r="H16" s="7">
        <f>AVERAGE(C16:G16)</f>
        <v>4.9014536569380227E-4</v>
      </c>
    </row>
    <row r="17" spans="1:10" x14ac:dyDescent="0.25">
      <c r="A17" s="2" t="s">
        <v>78</v>
      </c>
      <c r="B17" s="31">
        <f>12930/B5</f>
        <v>3.6919861343506048E-2</v>
      </c>
      <c r="C17" s="31">
        <f>28180/C5</f>
        <v>8.6895654292207455E-2</v>
      </c>
      <c r="D17" s="31">
        <f>22862/D5</f>
        <v>5.6339069427023138E-2</v>
      </c>
      <c r="E17" s="31">
        <v>0.13930000000000001</v>
      </c>
      <c r="F17" s="31">
        <v>0.1368</v>
      </c>
      <c r="G17" s="31">
        <v>6.8599999999999994E-2</v>
      </c>
      <c r="H17" s="7"/>
    </row>
    <row r="18" spans="1:10" x14ac:dyDescent="0.25">
      <c r="A18" s="2"/>
      <c r="B18" s="11"/>
      <c r="C18" s="11"/>
      <c r="D18" s="11"/>
      <c r="E18" s="11"/>
      <c r="F18" s="11"/>
      <c r="G18" s="11"/>
      <c r="H18" s="7"/>
    </row>
    <row r="19" spans="1:10" x14ac:dyDescent="0.25">
      <c r="A19" s="2" t="s">
        <v>0</v>
      </c>
      <c r="B19" s="2">
        <v>276</v>
      </c>
      <c r="C19" s="16">
        <v>150</v>
      </c>
      <c r="D19" s="11">
        <v>318</v>
      </c>
      <c r="E19" s="11">
        <v>903</v>
      </c>
      <c r="F19" s="11">
        <v>754</v>
      </c>
      <c r="G19" s="11">
        <v>686</v>
      </c>
      <c r="H19" s="7"/>
    </row>
    <row r="20" spans="1:10" x14ac:dyDescent="0.25">
      <c r="A20" s="2" t="s">
        <v>1</v>
      </c>
      <c r="B20" s="4">
        <f>B19/B8</f>
        <v>8.3708838821490471E-4</v>
      </c>
      <c r="C20" s="4">
        <f t="shared" ref="C20:G20" si="4">C19/C8</f>
        <v>4.282115869017632E-4</v>
      </c>
      <c r="D20" s="4">
        <f t="shared" si="4"/>
        <v>1.0190386427898208E-3</v>
      </c>
      <c r="E20" s="4">
        <f t="shared" si="4"/>
        <v>1.5109251968503938E-3</v>
      </c>
      <c r="F20" s="4">
        <f t="shared" si="4"/>
        <v>6.856378710885263E-4</v>
      </c>
      <c r="G20" s="4">
        <f t="shared" si="4"/>
        <v>9.4276475343573168E-4</v>
      </c>
      <c r="H20" s="7">
        <f>AVERAGE(C20:G20)</f>
        <v>9.1731561021324705E-4</v>
      </c>
      <c r="J20" s="8"/>
    </row>
    <row r="21" spans="1:10" x14ac:dyDescent="0.25">
      <c r="H21" s="5"/>
      <c r="J21" s="8"/>
    </row>
    <row r="22" spans="1:10" x14ac:dyDescent="0.25">
      <c r="A22" s="20" t="s">
        <v>77</v>
      </c>
      <c r="B22" s="29"/>
      <c r="C22" s="29">
        <v>0</v>
      </c>
      <c r="D22" s="29">
        <v>2.0000000000000001E-4</v>
      </c>
      <c r="E22" s="29">
        <v>0</v>
      </c>
      <c r="F22" s="29">
        <v>2.0000000000000001E-4</v>
      </c>
      <c r="G22" s="29">
        <v>2.0000000000000001E-4</v>
      </c>
      <c r="H22" s="5"/>
      <c r="J22" s="8"/>
    </row>
    <row r="23" spans="1:10" x14ac:dyDescent="0.25">
      <c r="A23" s="20"/>
      <c r="B23" s="29"/>
      <c r="C23" s="29"/>
      <c r="D23" s="12"/>
      <c r="E23" s="12"/>
      <c r="F23" s="5"/>
      <c r="G23" s="5"/>
      <c r="H23" s="5"/>
      <c r="J23" s="8"/>
    </row>
    <row r="24" spans="1:10" x14ac:dyDescent="0.25">
      <c r="A24" s="18" t="s">
        <v>44</v>
      </c>
      <c r="B24" s="28">
        <f>H7+H13-H16+H20</f>
        <v>1.091211553073633E-2</v>
      </c>
      <c r="C24" t="s">
        <v>46</v>
      </c>
    </row>
    <row r="25" spans="1:10" x14ac:dyDescent="0.25">
      <c r="A25" s="18" t="s">
        <v>45</v>
      </c>
      <c r="B25" s="28">
        <f>TrackingDifference!L39/100</f>
        <v>1.0259999999999991E-2</v>
      </c>
      <c r="C25" t="s">
        <v>46</v>
      </c>
    </row>
    <row r="26" spans="1:10" x14ac:dyDescent="0.25">
      <c r="A26" s="18" t="s">
        <v>27</v>
      </c>
      <c r="B26" s="28">
        <f>B25-B24</f>
        <v>-6.5211553073633854E-4</v>
      </c>
    </row>
    <row r="27" spans="1:10" x14ac:dyDescent="0.25">
      <c r="A27" s="18"/>
      <c r="B27" s="18"/>
    </row>
    <row r="28" spans="1:10" x14ac:dyDescent="0.25">
      <c r="A28" s="19" t="s">
        <v>3</v>
      </c>
      <c r="B28" s="30">
        <f>0.18%+AVERAGE(B13:G13)+AVERAGE(F20:G20)-AVERAGE(F16:G16)</f>
        <v>5.7099486057513279E-3</v>
      </c>
    </row>
    <row r="29" spans="1:10" x14ac:dyDescent="0.25">
      <c r="A29" s="2" t="s">
        <v>76</v>
      </c>
      <c r="B29" s="7">
        <f>B28-B24</f>
        <v>-5.202166924985002E-3</v>
      </c>
    </row>
    <row r="30" spans="1:10" x14ac:dyDescent="0.25">
      <c r="A30" s="1"/>
    </row>
    <row r="31" spans="1:10" x14ac:dyDescent="0.25">
      <c r="A31" s="1" t="s">
        <v>67</v>
      </c>
      <c r="B31" s="30">
        <f>B25+B29</f>
        <v>5.0578330750149893E-3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93B4-587A-4EB9-885B-D46C1E7C06F6}">
  <dimension ref="A2:I32"/>
  <sheetViews>
    <sheetView zoomScaleNormal="100" workbookViewId="0">
      <selection activeCell="B30" sqref="B30"/>
    </sheetView>
  </sheetViews>
  <sheetFormatPr defaultRowHeight="15" x14ac:dyDescent="0.25"/>
  <cols>
    <col min="1" max="1" width="39.5703125" customWidth="1"/>
    <col min="2" max="6" width="17.7109375" customWidth="1"/>
    <col min="7" max="7" width="24.7109375" customWidth="1"/>
    <col min="8" max="8" width="19.140625" customWidth="1"/>
    <col min="9" max="9" width="91.85546875" customWidth="1"/>
  </cols>
  <sheetData>
    <row r="2" spans="1:9" x14ac:dyDescent="0.25">
      <c r="A2" s="10" t="s">
        <v>121</v>
      </c>
      <c r="B2" s="10"/>
      <c r="C2" s="9"/>
      <c r="D2" s="9"/>
      <c r="E2" s="9"/>
      <c r="F2" s="9"/>
      <c r="G2" s="9"/>
      <c r="I2" s="1" t="s">
        <v>5</v>
      </c>
    </row>
    <row r="3" spans="1:9" x14ac:dyDescent="0.25">
      <c r="A3" t="s">
        <v>122</v>
      </c>
      <c r="I3" s="2" t="s">
        <v>123</v>
      </c>
    </row>
    <row r="4" spans="1:9" x14ac:dyDescent="0.25">
      <c r="B4" s="1">
        <v>2015</v>
      </c>
      <c r="C4" s="1">
        <v>2016</v>
      </c>
      <c r="D4" s="1">
        <v>2017</v>
      </c>
      <c r="E4" s="1">
        <v>2018</v>
      </c>
      <c r="F4" s="1">
        <v>2019</v>
      </c>
      <c r="G4" s="1" t="s">
        <v>132</v>
      </c>
      <c r="I4" t="s">
        <v>127</v>
      </c>
    </row>
    <row r="5" spans="1:9" x14ac:dyDescent="0.25">
      <c r="A5" s="2" t="s">
        <v>12</v>
      </c>
      <c r="B5" s="16">
        <v>24256</v>
      </c>
      <c r="C5" s="11">
        <v>151277</v>
      </c>
      <c r="D5" s="11">
        <v>1038524</v>
      </c>
      <c r="E5" s="11">
        <v>1613172</v>
      </c>
      <c r="F5" s="11">
        <v>1651193</v>
      </c>
      <c r="G5" s="1"/>
      <c r="I5" s="2"/>
    </row>
    <row r="6" spans="1:9" x14ac:dyDescent="0.25">
      <c r="A6" s="2" t="s">
        <v>11</v>
      </c>
      <c r="B6" s="16">
        <v>30</v>
      </c>
      <c r="C6" s="11">
        <v>209</v>
      </c>
      <c r="D6" s="11">
        <v>1984</v>
      </c>
      <c r="E6" s="11">
        <v>3734</v>
      </c>
      <c r="F6" s="11">
        <v>4812</v>
      </c>
      <c r="I6" s="2" t="s">
        <v>129</v>
      </c>
    </row>
    <row r="7" spans="1:9" x14ac:dyDescent="0.25">
      <c r="A7" s="2" t="s">
        <v>13</v>
      </c>
      <c r="B7" s="17">
        <v>3.0000000000000001E-3</v>
      </c>
      <c r="C7" s="17">
        <v>3.0000000000000001E-3</v>
      </c>
      <c r="D7" s="17">
        <v>3.0000000000000001E-3</v>
      </c>
      <c r="E7" s="17">
        <v>3.0000000000000001E-3</v>
      </c>
      <c r="F7" s="17">
        <v>3.0000000000000001E-3</v>
      </c>
      <c r="G7" s="7">
        <f>AVERAGE(C7:F7)</f>
        <v>3.0000000000000001E-3</v>
      </c>
      <c r="I7" s="2" t="s">
        <v>130</v>
      </c>
    </row>
    <row r="8" spans="1:9" x14ac:dyDescent="0.25">
      <c r="A8" s="2" t="s">
        <v>16</v>
      </c>
      <c r="B8" s="11">
        <f t="shared" ref="B8:F8" si="0">B6/B7</f>
        <v>10000</v>
      </c>
      <c r="C8" s="11">
        <f t="shared" si="0"/>
        <v>69666.666666666672</v>
      </c>
      <c r="D8" s="11">
        <f t="shared" si="0"/>
        <v>661333.33333333337</v>
      </c>
      <c r="E8" s="11">
        <f t="shared" si="0"/>
        <v>1244666.6666666667</v>
      </c>
      <c r="F8" s="11">
        <f t="shared" si="0"/>
        <v>1604000</v>
      </c>
      <c r="G8" s="7"/>
      <c r="I8" s="2" t="s">
        <v>136</v>
      </c>
    </row>
    <row r="9" spans="1:9" x14ac:dyDescent="0.25">
      <c r="B9" s="1"/>
      <c r="C9" s="1"/>
      <c r="D9" s="1"/>
      <c r="E9" s="1"/>
      <c r="F9" s="1"/>
      <c r="G9" s="7"/>
    </row>
    <row r="10" spans="1:9" x14ac:dyDescent="0.25">
      <c r="A10" s="2" t="s">
        <v>7</v>
      </c>
      <c r="B10" s="16">
        <v>279</v>
      </c>
      <c r="C10" s="11">
        <v>2604</v>
      </c>
      <c r="D10" s="11">
        <v>21736</v>
      </c>
      <c r="E10" s="11">
        <v>38305</v>
      </c>
      <c r="F10" s="11">
        <v>56439</v>
      </c>
      <c r="G10" s="7"/>
    </row>
    <row r="11" spans="1:9" x14ac:dyDescent="0.25">
      <c r="A11" s="2" t="s">
        <v>9</v>
      </c>
      <c r="B11" s="16">
        <v>29</v>
      </c>
      <c r="C11" s="11">
        <v>282</v>
      </c>
      <c r="D11" s="11">
        <v>2230</v>
      </c>
      <c r="E11" s="11">
        <v>3979</v>
      </c>
      <c r="F11" s="11">
        <v>5829</v>
      </c>
      <c r="G11" s="7"/>
    </row>
    <row r="12" spans="1:9" x14ac:dyDescent="0.25">
      <c r="A12" s="2" t="s">
        <v>10</v>
      </c>
      <c r="B12" s="14">
        <f>B11/B10</f>
        <v>0.1039426523297491</v>
      </c>
      <c r="C12" s="14">
        <f>C11/C10</f>
        <v>0.10829493087557604</v>
      </c>
      <c r="D12" s="14">
        <f>D11/D10</f>
        <v>0.10259477364740523</v>
      </c>
      <c r="E12" s="14">
        <f>E11/E10</f>
        <v>0.10387677848844798</v>
      </c>
      <c r="F12" s="14">
        <f>F11/F10</f>
        <v>0.10327964705257003</v>
      </c>
      <c r="G12" s="7">
        <f t="shared" ref="G12:G21" si="1">AVERAGE(C12:F12)</f>
        <v>0.10451153251599983</v>
      </c>
    </row>
    <row r="13" spans="1:9" x14ac:dyDescent="0.25">
      <c r="A13" s="20" t="s">
        <v>28</v>
      </c>
      <c r="B13" s="4">
        <f t="shared" ref="B13:F13" si="2">B11/B8</f>
        <v>2.8999999999999998E-3</v>
      </c>
      <c r="C13" s="4">
        <f>C11/C8</f>
        <v>4.0478468899521527E-3</v>
      </c>
      <c r="D13" s="4">
        <f t="shared" si="2"/>
        <v>3.3719758064516127E-3</v>
      </c>
      <c r="E13" s="4">
        <f>E11/E8</f>
        <v>3.1968398500267807E-3</v>
      </c>
      <c r="F13" s="4">
        <f t="shared" si="2"/>
        <v>3.6340399002493767E-3</v>
      </c>
      <c r="G13" s="7">
        <f t="shared" si="1"/>
        <v>3.5626756116699807E-3</v>
      </c>
    </row>
    <row r="14" spans="1:9" x14ac:dyDescent="0.25">
      <c r="A14" s="20" t="s">
        <v>128</v>
      </c>
      <c r="B14" s="4">
        <f>B10/B8</f>
        <v>2.7900000000000001E-2</v>
      </c>
      <c r="C14" s="4">
        <f t="shared" ref="C14:F14" si="3">C10/C8</f>
        <v>3.737799043062201E-2</v>
      </c>
      <c r="D14" s="4">
        <f t="shared" si="3"/>
        <v>3.2866935483870964E-2</v>
      </c>
      <c r="E14" s="4">
        <f t="shared" si="3"/>
        <v>3.0775307980717728E-2</v>
      </c>
      <c r="F14" s="4">
        <f t="shared" si="3"/>
        <v>3.5186408977556108E-2</v>
      </c>
      <c r="G14" s="7">
        <f t="shared" si="1"/>
        <v>3.4051660718191698E-2</v>
      </c>
    </row>
    <row r="15" spans="1:9" x14ac:dyDescent="0.25">
      <c r="A15" s="2"/>
      <c r="B15" s="11"/>
      <c r="C15" s="11"/>
      <c r="D15" s="11"/>
      <c r="E15" s="11"/>
      <c r="F15" s="11"/>
      <c r="G15" s="7"/>
    </row>
    <row r="16" spans="1:9" x14ac:dyDescent="0.25">
      <c r="A16" s="2" t="s">
        <v>8</v>
      </c>
      <c r="B16" s="16">
        <v>1</v>
      </c>
      <c r="C16" s="11">
        <v>7</v>
      </c>
      <c r="D16" s="11">
        <v>74</v>
      </c>
      <c r="E16" s="11">
        <v>195</v>
      </c>
      <c r="F16" s="11">
        <v>342</v>
      </c>
      <c r="G16" s="7"/>
    </row>
    <row r="17" spans="1:9" x14ac:dyDescent="0.25">
      <c r="A17" s="2" t="s">
        <v>21</v>
      </c>
      <c r="B17" s="32">
        <f>B16/B8</f>
        <v>1E-4</v>
      </c>
      <c r="C17" s="32">
        <f t="shared" ref="C17:F17" si="4">C16/C8</f>
        <v>1.0047846889952153E-4</v>
      </c>
      <c r="D17" s="32">
        <f t="shared" si="4"/>
        <v>1.1189516129032257E-4</v>
      </c>
      <c r="E17" s="32">
        <f>E16/E8</f>
        <v>1.5666845206213176E-4</v>
      </c>
      <c r="F17" s="32">
        <f t="shared" si="4"/>
        <v>2.1321695760598503E-4</v>
      </c>
      <c r="G17" s="7">
        <f t="shared" si="1"/>
        <v>1.455647599644902E-4</v>
      </c>
    </row>
    <row r="18" spans="1:9" x14ac:dyDescent="0.25">
      <c r="A18" s="2" t="s">
        <v>78</v>
      </c>
      <c r="B18" s="31">
        <f>56/B5</f>
        <v>2.3087071240105541E-3</v>
      </c>
      <c r="C18" s="31"/>
      <c r="D18" s="31">
        <v>7.9399999999999998E-2</v>
      </c>
      <c r="E18" s="31">
        <v>7.5600000000000001E-2</v>
      </c>
      <c r="F18" s="31">
        <v>0.12709999999999999</v>
      </c>
      <c r="G18" s="7"/>
    </row>
    <row r="19" spans="1:9" x14ac:dyDescent="0.25">
      <c r="A19" s="2"/>
      <c r="B19" s="11"/>
      <c r="C19" s="11"/>
      <c r="D19" s="11"/>
      <c r="E19" s="11"/>
      <c r="F19" s="11"/>
      <c r="G19" s="7"/>
    </row>
    <row r="20" spans="1:9" x14ac:dyDescent="0.25">
      <c r="A20" s="2" t="s">
        <v>0</v>
      </c>
      <c r="B20" s="16">
        <v>16</v>
      </c>
      <c r="C20" s="11">
        <v>86</v>
      </c>
      <c r="D20" s="11">
        <v>866</v>
      </c>
      <c r="E20" s="11"/>
      <c r="F20" s="11">
        <v>1656</v>
      </c>
      <c r="G20" s="7"/>
    </row>
    <row r="21" spans="1:9" x14ac:dyDescent="0.25">
      <c r="A21" s="2" t="s">
        <v>1</v>
      </c>
      <c r="B21" s="4">
        <f t="shared" ref="B21:F21" si="5">B20/B8</f>
        <v>1.6000000000000001E-3</v>
      </c>
      <c r="C21" s="4">
        <f t="shared" si="5"/>
        <v>1.2344497607655503E-3</v>
      </c>
      <c r="D21" s="4">
        <f t="shared" si="5"/>
        <v>1.3094758064516128E-3</v>
      </c>
      <c r="E21" s="4"/>
      <c r="F21" s="5">
        <f t="shared" si="5"/>
        <v>1.032418952618454E-3</v>
      </c>
      <c r="G21" s="7">
        <f t="shared" si="1"/>
        <v>1.1921148399452056E-3</v>
      </c>
      <c r="I21" s="8"/>
    </row>
    <row r="22" spans="1:9" x14ac:dyDescent="0.25">
      <c r="G22" s="5"/>
      <c r="I22" s="8"/>
    </row>
    <row r="23" spans="1:9" x14ac:dyDescent="0.25">
      <c r="A23" s="20" t="s">
        <v>77</v>
      </c>
      <c r="B23" s="29">
        <v>0</v>
      </c>
      <c r="C23" s="29"/>
      <c r="D23" s="29">
        <v>1E-4</v>
      </c>
      <c r="E23" s="29">
        <v>0</v>
      </c>
      <c r="F23" s="29">
        <v>4.0000000000000002E-4</v>
      </c>
      <c r="G23" s="5"/>
      <c r="I23" s="8"/>
    </row>
    <row r="24" spans="1:9" x14ac:dyDescent="0.25">
      <c r="A24" s="20"/>
      <c r="B24" s="29"/>
      <c r="C24" s="29"/>
      <c r="D24" s="12"/>
      <c r="E24" s="12"/>
      <c r="F24" s="5"/>
      <c r="G24" s="5"/>
      <c r="I24" s="8"/>
    </row>
    <row r="25" spans="1:9" x14ac:dyDescent="0.25">
      <c r="A25" s="18" t="s">
        <v>44</v>
      </c>
      <c r="B25" s="28">
        <f>G7+G13-G17+G21</f>
        <v>7.6092256916506958E-3</v>
      </c>
      <c r="C25" t="s">
        <v>131</v>
      </c>
    </row>
    <row r="26" spans="1:9" x14ac:dyDescent="0.25">
      <c r="A26" s="18" t="s">
        <v>45</v>
      </c>
      <c r="B26" s="28">
        <f>TrackingDifference!L46/100</f>
        <v>6.6249999999999963E-3</v>
      </c>
      <c r="C26" t="s">
        <v>131</v>
      </c>
    </row>
    <row r="27" spans="1:9" x14ac:dyDescent="0.25">
      <c r="A27" s="18" t="s">
        <v>27</v>
      </c>
      <c r="B27" s="28">
        <f>B26-B25</f>
        <v>-9.8422569165069942E-4</v>
      </c>
    </row>
    <row r="28" spans="1:9" x14ac:dyDescent="0.25">
      <c r="A28" s="18"/>
      <c r="B28" s="18"/>
    </row>
    <row r="29" spans="1:9" x14ac:dyDescent="0.25">
      <c r="A29" s="19" t="s">
        <v>3</v>
      </c>
      <c r="B29" s="30">
        <f>F7++G13-F17+F21</f>
        <v>7.3818776066824493E-3</v>
      </c>
    </row>
    <row r="30" spans="1:9" x14ac:dyDescent="0.25">
      <c r="A30" s="2" t="s">
        <v>76</v>
      </c>
      <c r="B30" s="7">
        <f>B29-B25</f>
        <v>-2.2734808496824646E-4</v>
      </c>
    </row>
    <row r="31" spans="1:9" x14ac:dyDescent="0.25">
      <c r="A31" s="1"/>
    </row>
    <row r="32" spans="1:9" x14ac:dyDescent="0.25">
      <c r="A32" s="1" t="s">
        <v>67</v>
      </c>
      <c r="B32" s="30">
        <f>B26+B30</f>
        <v>6.3976519150317499E-3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0D2-0890-4532-8ABA-CDB206A2E066}">
  <dimension ref="B1:N47"/>
  <sheetViews>
    <sheetView workbookViewId="0">
      <selection activeCell="J46" sqref="J46"/>
    </sheetView>
  </sheetViews>
  <sheetFormatPr defaultRowHeight="15" x14ac:dyDescent="0.25"/>
  <cols>
    <col min="2" max="2" width="44.140625" customWidth="1"/>
    <col min="10" max="10" width="18.5703125" customWidth="1"/>
    <col min="14" max="14" width="11.85546875" customWidth="1"/>
  </cols>
  <sheetData>
    <row r="1" spans="2:14" x14ac:dyDescent="0.25">
      <c r="C1" s="46">
        <v>2013</v>
      </c>
      <c r="D1" s="46">
        <v>2014</v>
      </c>
      <c r="E1" s="46">
        <v>2015</v>
      </c>
      <c r="F1" s="46">
        <v>2016</v>
      </c>
      <c r="G1" s="46">
        <v>2017</v>
      </c>
      <c r="H1" s="46">
        <v>2018</v>
      </c>
      <c r="I1" s="46">
        <v>2019</v>
      </c>
      <c r="J1" s="35" t="s">
        <v>92</v>
      </c>
      <c r="K1" s="37"/>
      <c r="L1" s="35" t="s">
        <v>58</v>
      </c>
      <c r="M1" s="35" t="s">
        <v>59</v>
      </c>
    </row>
    <row r="2" spans="2:14" x14ac:dyDescent="0.25">
      <c r="B2" s="35" t="s">
        <v>47</v>
      </c>
      <c r="C2" s="36"/>
      <c r="D2" s="36">
        <v>5.05</v>
      </c>
      <c r="E2" s="36">
        <v>-0.77</v>
      </c>
      <c r="F2" s="36">
        <v>7.73</v>
      </c>
      <c r="G2" s="36">
        <v>22.45</v>
      </c>
      <c r="H2" s="36">
        <v>-8.65</v>
      </c>
      <c r="I2" s="36">
        <v>27.76</v>
      </c>
      <c r="J2" s="38">
        <f>AVERAGE(D2:I2)</f>
        <v>8.9283333333333346</v>
      </c>
      <c r="K2" s="37"/>
      <c r="L2" s="37"/>
      <c r="M2" s="37"/>
    </row>
    <row r="3" spans="2:14" x14ac:dyDescent="0.25">
      <c r="B3" s="35" t="s">
        <v>48</v>
      </c>
      <c r="C3" s="36"/>
      <c r="D3" s="36">
        <v>5.5</v>
      </c>
      <c r="E3" s="36">
        <v>-0.32</v>
      </c>
      <c r="F3" s="36">
        <v>8.15</v>
      </c>
      <c r="G3" s="36">
        <v>23.07</v>
      </c>
      <c r="H3" s="36">
        <v>-8.1999999999999993</v>
      </c>
      <c r="I3" s="36">
        <v>28.4</v>
      </c>
      <c r="J3" s="37"/>
      <c r="K3" s="37"/>
      <c r="L3" s="38"/>
      <c r="M3" s="38"/>
    </row>
    <row r="4" spans="2:14" x14ac:dyDescent="0.25">
      <c r="B4" s="35" t="s">
        <v>49</v>
      </c>
      <c r="C4" s="36"/>
      <c r="D4" s="39">
        <v>4.9400000000000004</v>
      </c>
      <c r="E4" s="39">
        <v>-0.87</v>
      </c>
      <c r="F4" s="39">
        <v>7.51</v>
      </c>
      <c r="G4" s="39">
        <v>22.4</v>
      </c>
      <c r="H4" s="39">
        <v>-8.7100000000000009</v>
      </c>
      <c r="I4" s="39">
        <v>27.67</v>
      </c>
      <c r="J4" s="37"/>
      <c r="K4" s="37"/>
      <c r="L4" s="38"/>
      <c r="M4" s="38"/>
    </row>
    <row r="5" spans="2:14" x14ac:dyDescent="0.25">
      <c r="B5" s="35" t="s">
        <v>50</v>
      </c>
      <c r="C5" s="36"/>
      <c r="D5" s="36">
        <f t="shared" ref="D5:I5" si="0">D3-D2</f>
        <v>0.45000000000000018</v>
      </c>
      <c r="E5" s="36">
        <f t="shared" si="0"/>
        <v>0.45</v>
      </c>
      <c r="F5" s="36">
        <f t="shared" si="0"/>
        <v>0.41999999999999993</v>
      </c>
      <c r="G5" s="36">
        <f t="shared" si="0"/>
        <v>0.62000000000000099</v>
      </c>
      <c r="H5" s="36">
        <f t="shared" si="0"/>
        <v>0.45000000000000107</v>
      </c>
      <c r="I5" s="36">
        <f t="shared" si="0"/>
        <v>0.63999999999999702</v>
      </c>
      <c r="J5" s="37"/>
      <c r="K5" s="37"/>
      <c r="L5" s="38">
        <f>AVERAGE(D5:I5)</f>
        <v>0.50499999999999989</v>
      </c>
      <c r="M5" s="38"/>
    </row>
    <row r="6" spans="2:14" x14ac:dyDescent="0.25">
      <c r="B6" s="35" t="s">
        <v>51</v>
      </c>
      <c r="C6" s="36"/>
      <c r="D6" s="36">
        <f>D2-D4</f>
        <v>0.10999999999999943</v>
      </c>
      <c r="E6" s="36">
        <f t="shared" ref="E6:I6" si="1">E2-E4</f>
        <v>9.9999999999999978E-2</v>
      </c>
      <c r="F6" s="36">
        <f t="shared" si="1"/>
        <v>0.22000000000000064</v>
      </c>
      <c r="G6" s="36">
        <f t="shared" si="1"/>
        <v>5.0000000000000711E-2</v>
      </c>
      <c r="H6" s="36">
        <f t="shared" si="1"/>
        <v>6.0000000000000497E-2</v>
      </c>
      <c r="I6" s="36">
        <f t="shared" si="1"/>
        <v>8.9999999999999858E-2</v>
      </c>
      <c r="J6" s="37"/>
      <c r="K6" s="37"/>
      <c r="L6" s="38"/>
      <c r="M6" s="38">
        <f>AVERAGE(D6:I6)</f>
        <v>0.10500000000000019</v>
      </c>
    </row>
    <row r="7" spans="2:14" x14ac:dyDescent="0.25">
      <c r="J7" s="37"/>
    </row>
    <row r="8" spans="2:14" x14ac:dyDescent="0.25">
      <c r="J8" s="37"/>
    </row>
    <row r="9" spans="2:14" x14ac:dyDescent="0.25">
      <c r="B9" s="40" t="s">
        <v>52</v>
      </c>
      <c r="C9" s="41"/>
      <c r="E9" s="41">
        <v>-14.38</v>
      </c>
      <c r="F9" s="41">
        <v>9.61</v>
      </c>
      <c r="G9" s="41">
        <v>36.979999999999997</v>
      </c>
      <c r="H9" s="41">
        <v>-14.83</v>
      </c>
      <c r="I9" s="41">
        <v>17.45</v>
      </c>
      <c r="J9" s="38">
        <f t="shared" ref="J9:J22" si="2">AVERAGE(D9:I9)</f>
        <v>6.9659999999999993</v>
      </c>
      <c r="K9" s="42"/>
      <c r="L9" s="42"/>
    </row>
    <row r="10" spans="2:14" x14ac:dyDescent="0.25">
      <c r="B10" s="40" t="s">
        <v>53</v>
      </c>
      <c r="C10" s="41"/>
      <c r="E10" s="41">
        <v>-13.55</v>
      </c>
      <c r="F10" s="41">
        <v>10.3</v>
      </c>
      <c r="G10" s="41">
        <v>37.28</v>
      </c>
      <c r="H10" s="41">
        <v>-14.71</v>
      </c>
      <c r="I10" s="43">
        <v>18.100000000000001</v>
      </c>
      <c r="J10" s="37"/>
      <c r="K10" s="42"/>
      <c r="L10" s="42"/>
    </row>
    <row r="11" spans="2:14" x14ac:dyDescent="0.25">
      <c r="B11" s="40" t="s">
        <v>54</v>
      </c>
      <c r="C11" s="41"/>
      <c r="E11">
        <v>-13.86</v>
      </c>
      <c r="F11">
        <v>9.9</v>
      </c>
      <c r="G11">
        <v>36.83</v>
      </c>
      <c r="H11">
        <v>-15.04</v>
      </c>
      <c r="I11">
        <v>17.64</v>
      </c>
      <c r="J11" s="37"/>
      <c r="K11" s="42"/>
      <c r="L11" s="42"/>
    </row>
    <row r="12" spans="2:14" x14ac:dyDescent="0.25">
      <c r="B12" s="40" t="s">
        <v>50</v>
      </c>
      <c r="C12" s="41"/>
      <c r="E12" s="41">
        <f>E10-E9</f>
        <v>0.83000000000000007</v>
      </c>
      <c r="F12" s="41">
        <f>F10-F9</f>
        <v>0.69000000000000128</v>
      </c>
      <c r="G12" s="41">
        <f>G10-G9</f>
        <v>0.30000000000000426</v>
      </c>
      <c r="H12" s="41">
        <f>H10-H9</f>
        <v>0.11999999999999922</v>
      </c>
      <c r="I12" s="41">
        <f>I10-I9</f>
        <v>0.65000000000000213</v>
      </c>
      <c r="J12" s="37"/>
      <c r="L12" s="44">
        <f>AVERAGE(E12:I12)</f>
        <v>0.51800000000000135</v>
      </c>
      <c r="M12" s="42"/>
    </row>
    <row r="13" spans="2:14" x14ac:dyDescent="0.25">
      <c r="B13" s="40" t="s">
        <v>51</v>
      </c>
      <c r="C13" s="41"/>
      <c r="E13" s="41">
        <f>E9-E11</f>
        <v>-0.52000000000000135</v>
      </c>
      <c r="F13" s="41">
        <f t="shared" ref="F13:I13" si="3">F9-F11</f>
        <v>-0.29000000000000092</v>
      </c>
      <c r="G13" s="41">
        <f t="shared" si="3"/>
        <v>0.14999999999999858</v>
      </c>
      <c r="H13" s="41">
        <f t="shared" si="3"/>
        <v>0.20999999999999908</v>
      </c>
      <c r="I13" s="41">
        <f t="shared" si="3"/>
        <v>-0.19000000000000128</v>
      </c>
      <c r="J13" s="37"/>
      <c r="L13" s="44"/>
      <c r="M13" s="44">
        <f>AVERAGE(E13:I13)</f>
        <v>-0.12800000000000117</v>
      </c>
    </row>
    <row r="14" spans="2:14" x14ac:dyDescent="0.25">
      <c r="J14" s="37"/>
    </row>
    <row r="15" spans="2:14" x14ac:dyDescent="0.25">
      <c r="J15" s="37"/>
    </row>
    <row r="16" spans="2:14" x14ac:dyDescent="0.25">
      <c r="B16" s="45" t="s">
        <v>57</v>
      </c>
      <c r="C16" s="42"/>
      <c r="D16" s="42"/>
      <c r="E16" s="42"/>
      <c r="F16" s="42"/>
      <c r="G16" s="42"/>
      <c r="H16" s="42"/>
      <c r="I16" s="42">
        <v>25.73</v>
      </c>
      <c r="J16" s="37"/>
      <c r="K16" s="42"/>
      <c r="L16" s="42"/>
      <c r="M16" s="42"/>
      <c r="N16" s="42"/>
    </row>
    <row r="17" spans="2:14" x14ac:dyDescent="0.25">
      <c r="B17" s="40" t="s">
        <v>56</v>
      </c>
      <c r="C17" s="42"/>
      <c r="D17" s="42"/>
      <c r="E17" s="42"/>
      <c r="F17" s="42"/>
      <c r="G17" s="42"/>
      <c r="H17" s="42"/>
      <c r="I17" s="42">
        <v>26.78</v>
      </c>
      <c r="J17" s="37"/>
      <c r="K17" s="42"/>
      <c r="L17" s="42"/>
      <c r="M17" s="42"/>
      <c r="N17" s="42"/>
    </row>
    <row r="18" spans="2:14" x14ac:dyDescent="0.25">
      <c r="B18" s="40" t="s">
        <v>55</v>
      </c>
      <c r="C18" s="42"/>
      <c r="D18" s="42"/>
      <c r="E18" s="42"/>
      <c r="F18" s="42"/>
      <c r="G18" s="42"/>
      <c r="H18" s="42"/>
      <c r="I18" s="42">
        <v>26.19</v>
      </c>
      <c r="J18" s="37"/>
      <c r="K18" s="42"/>
      <c r="L18" s="42"/>
      <c r="M18" s="42"/>
      <c r="N18" s="42"/>
    </row>
    <row r="19" spans="2:14" x14ac:dyDescent="0.25">
      <c r="B19" s="40" t="s">
        <v>50</v>
      </c>
      <c r="C19" s="42"/>
      <c r="D19" s="42"/>
      <c r="E19" s="42"/>
      <c r="F19" s="42"/>
      <c r="G19" s="42"/>
      <c r="H19" s="42"/>
      <c r="I19" s="42">
        <f>I17-I16</f>
        <v>1.0500000000000007</v>
      </c>
      <c r="J19" s="37"/>
      <c r="K19" s="42"/>
      <c r="L19" s="42">
        <f>AVERAGE(I19)</f>
        <v>1.0500000000000007</v>
      </c>
      <c r="M19" s="42"/>
      <c r="N19" s="42" t="s">
        <v>60</v>
      </c>
    </row>
    <row r="20" spans="2:14" x14ac:dyDescent="0.25">
      <c r="J20" s="37"/>
    </row>
    <row r="21" spans="2:14" x14ac:dyDescent="0.25">
      <c r="J21" s="37"/>
    </row>
    <row r="22" spans="2:14" x14ac:dyDescent="0.25">
      <c r="B22" s="35" t="s">
        <v>85</v>
      </c>
      <c r="E22">
        <v>-7.43</v>
      </c>
      <c r="F22">
        <v>2.31</v>
      </c>
      <c r="G22">
        <v>33.89</v>
      </c>
      <c r="H22">
        <v>-18.63</v>
      </c>
      <c r="I22">
        <v>11.06</v>
      </c>
      <c r="J22" s="37">
        <f t="shared" si="2"/>
        <v>4.24</v>
      </c>
    </row>
    <row r="23" spans="2:14" x14ac:dyDescent="0.25">
      <c r="B23" s="40" t="s">
        <v>56</v>
      </c>
      <c r="E23">
        <v>-6.85</v>
      </c>
      <c r="F23">
        <v>2.2799999999999998</v>
      </c>
      <c r="G23">
        <v>33.840000000000003</v>
      </c>
      <c r="H23">
        <v>-18.59</v>
      </c>
      <c r="I23">
        <v>11.5</v>
      </c>
      <c r="J23" s="37"/>
    </row>
    <row r="24" spans="2:14" x14ac:dyDescent="0.25">
      <c r="B24" s="40" t="s">
        <v>55</v>
      </c>
      <c r="E24">
        <v>-6.57</v>
      </c>
      <c r="F24">
        <v>2.56</v>
      </c>
      <c r="G24">
        <v>34.22</v>
      </c>
      <c r="H24">
        <v>-18.3</v>
      </c>
      <c r="I24">
        <v>11.92</v>
      </c>
      <c r="J24" s="37"/>
    </row>
    <row r="25" spans="2:14" x14ac:dyDescent="0.25">
      <c r="B25" s="35" t="s">
        <v>50</v>
      </c>
      <c r="E25">
        <f>E24-E22</f>
        <v>0.85999999999999943</v>
      </c>
      <c r="F25">
        <f>F24-F22</f>
        <v>0.25</v>
      </c>
      <c r="G25">
        <f>G24-G22</f>
        <v>0.32999999999999829</v>
      </c>
      <c r="H25">
        <f>H24-H22</f>
        <v>0.32999999999999829</v>
      </c>
      <c r="I25">
        <f>I24-I22</f>
        <v>0.85999999999999943</v>
      </c>
      <c r="J25" s="37"/>
      <c r="L25" s="55">
        <f>AVERAGE(E25:I25)</f>
        <v>0.52599999999999913</v>
      </c>
    </row>
    <row r="26" spans="2:14" x14ac:dyDescent="0.25">
      <c r="B26" s="35" t="s">
        <v>51</v>
      </c>
      <c r="E26">
        <f>E22-E23</f>
        <v>-0.58000000000000007</v>
      </c>
      <c r="F26">
        <f>F22-F23</f>
        <v>3.0000000000000249E-2</v>
      </c>
      <c r="G26">
        <f>G22-G23</f>
        <v>4.9999999999997158E-2</v>
      </c>
      <c r="H26">
        <f>H22-H23</f>
        <v>-3.9999999999999147E-2</v>
      </c>
      <c r="I26">
        <f>I22-I23</f>
        <v>-0.4399999999999995</v>
      </c>
      <c r="J26" s="37"/>
      <c r="M26" s="55">
        <f>AVERAGE(E26:I26)</f>
        <v>-0.19600000000000026</v>
      </c>
    </row>
    <row r="29" spans="2:14" x14ac:dyDescent="0.25">
      <c r="B29" s="35" t="s">
        <v>100</v>
      </c>
      <c r="E29">
        <v>-15.34</v>
      </c>
      <c r="F29">
        <v>10.52</v>
      </c>
      <c r="G29">
        <v>36.47</v>
      </c>
      <c r="H29">
        <v>-15.09</v>
      </c>
      <c r="I29">
        <v>17.47</v>
      </c>
      <c r="J29" s="55">
        <f>AVERAGE(E29:I29)</f>
        <v>6.806</v>
      </c>
    </row>
    <row r="30" spans="2:14" x14ac:dyDescent="0.25">
      <c r="B30" s="40" t="s">
        <v>56</v>
      </c>
      <c r="E30">
        <v>-14.92</v>
      </c>
      <c r="F30">
        <v>11.19</v>
      </c>
      <c r="G30">
        <v>37.28</v>
      </c>
      <c r="H30">
        <v>-14.57</v>
      </c>
      <c r="I30">
        <v>18.420000000000002</v>
      </c>
    </row>
    <row r="31" spans="2:14" x14ac:dyDescent="0.25">
      <c r="B31" s="40" t="s">
        <v>55</v>
      </c>
      <c r="E31">
        <v>-14.6</v>
      </c>
      <c r="F31">
        <v>11.6</v>
      </c>
      <c r="G31">
        <v>37.75</v>
      </c>
      <c r="H31">
        <v>-14.24</v>
      </c>
      <c r="I31">
        <v>18.88</v>
      </c>
    </row>
    <row r="32" spans="2:14" x14ac:dyDescent="0.25">
      <c r="B32" s="35" t="s">
        <v>50</v>
      </c>
      <c r="E32">
        <f>E31-E29</f>
        <v>0.74000000000000021</v>
      </c>
      <c r="F32">
        <f>F31-F29</f>
        <v>1.08</v>
      </c>
      <c r="G32">
        <f>G31-G29</f>
        <v>1.2800000000000011</v>
      </c>
      <c r="H32">
        <f>H31-H29</f>
        <v>0.84999999999999964</v>
      </c>
      <c r="I32">
        <f>I31-I29</f>
        <v>1.4100000000000001</v>
      </c>
      <c r="L32" s="55">
        <f>AVERAGE(E32:I32)</f>
        <v>1.0720000000000003</v>
      </c>
    </row>
    <row r="33" spans="2:13" x14ac:dyDescent="0.25">
      <c r="B33" s="35" t="s">
        <v>51</v>
      </c>
      <c r="E33">
        <f>E29-E30</f>
        <v>-0.41999999999999993</v>
      </c>
      <c r="F33">
        <f>F29-F30</f>
        <v>-0.66999999999999993</v>
      </c>
      <c r="G33">
        <f>G29-G30</f>
        <v>-0.81000000000000227</v>
      </c>
      <c r="H33">
        <f>H29-H30</f>
        <v>-0.51999999999999957</v>
      </c>
      <c r="I33">
        <f>I29-I30</f>
        <v>-0.95000000000000284</v>
      </c>
      <c r="L33" s="55"/>
      <c r="M33" s="55">
        <f>AVERAGE(E33:I33)</f>
        <v>-0.67400000000000093</v>
      </c>
    </row>
    <row r="34" spans="2:13" x14ac:dyDescent="0.25">
      <c r="L34" s="55"/>
      <c r="M34" s="55"/>
    </row>
    <row r="35" spans="2:13" x14ac:dyDescent="0.25">
      <c r="L35" s="55"/>
      <c r="M35" s="55"/>
    </row>
    <row r="36" spans="2:13" x14ac:dyDescent="0.25">
      <c r="B36" s="35" t="s">
        <v>105</v>
      </c>
      <c r="E36">
        <v>-15.33</v>
      </c>
      <c r="F36">
        <v>10.57</v>
      </c>
      <c r="G36">
        <v>36.590000000000003</v>
      </c>
      <c r="H36">
        <v>-15.11</v>
      </c>
      <c r="I36">
        <v>17.54</v>
      </c>
      <c r="L36" s="55"/>
      <c r="M36" s="55"/>
    </row>
    <row r="37" spans="2:13" x14ac:dyDescent="0.25">
      <c r="B37" s="40" t="s">
        <v>56</v>
      </c>
      <c r="E37">
        <v>-14.6</v>
      </c>
      <c r="F37">
        <v>11.6</v>
      </c>
      <c r="G37">
        <v>37.75</v>
      </c>
      <c r="H37">
        <v>-14.24</v>
      </c>
      <c r="I37">
        <v>18.88</v>
      </c>
      <c r="L37" s="55"/>
      <c r="M37" s="55"/>
    </row>
    <row r="38" spans="2:13" x14ac:dyDescent="0.25">
      <c r="B38" s="40" t="s">
        <v>55</v>
      </c>
      <c r="E38">
        <v>-14.92</v>
      </c>
      <c r="F38">
        <v>11.19</v>
      </c>
      <c r="G38">
        <v>37.28</v>
      </c>
      <c r="H38">
        <v>-14.57</v>
      </c>
      <c r="I38">
        <v>18.420000000000002</v>
      </c>
      <c r="L38" s="55"/>
      <c r="M38" s="55"/>
    </row>
    <row r="39" spans="2:13" x14ac:dyDescent="0.25">
      <c r="B39" s="35" t="s">
        <v>50</v>
      </c>
      <c r="E39">
        <f>E37-E36</f>
        <v>0.73000000000000043</v>
      </c>
      <c r="F39">
        <f t="shared" ref="F39:I39" si="4">F37-F36</f>
        <v>1.0299999999999994</v>
      </c>
      <c r="G39">
        <f t="shared" si="4"/>
        <v>1.1599999999999966</v>
      </c>
      <c r="H39">
        <f t="shared" si="4"/>
        <v>0.86999999999999922</v>
      </c>
      <c r="I39">
        <f t="shared" si="4"/>
        <v>1.3399999999999999</v>
      </c>
      <c r="L39" s="55">
        <f t="shared" ref="L39" si="5">AVERAGE(E39:I39)</f>
        <v>1.0259999999999991</v>
      </c>
      <c r="M39" s="55"/>
    </row>
    <row r="40" spans="2:13" x14ac:dyDescent="0.25">
      <c r="B40" s="35" t="s">
        <v>51</v>
      </c>
      <c r="E40">
        <f>E36-E38</f>
        <v>-0.41000000000000014</v>
      </c>
      <c r="F40">
        <f t="shared" ref="F40:I40" si="6">F36-F38</f>
        <v>-0.61999999999999922</v>
      </c>
      <c r="G40">
        <f t="shared" si="6"/>
        <v>-0.68999999999999773</v>
      </c>
      <c r="H40">
        <f t="shared" si="6"/>
        <v>-0.53999999999999915</v>
      </c>
      <c r="I40">
        <f t="shared" si="6"/>
        <v>-0.88000000000000256</v>
      </c>
      <c r="M40" s="55">
        <f t="shared" ref="M40" si="7">AVERAGE(E40:I40)</f>
        <v>-0.62799999999999978</v>
      </c>
    </row>
    <row r="43" spans="2:13" x14ac:dyDescent="0.25">
      <c r="B43" s="35" t="s">
        <v>124</v>
      </c>
      <c r="E43">
        <v>-3.27</v>
      </c>
      <c r="F43">
        <v>8.14</v>
      </c>
      <c r="G43">
        <v>22.16</v>
      </c>
      <c r="H43">
        <v>-13.9</v>
      </c>
      <c r="I43">
        <v>19.13</v>
      </c>
    </row>
    <row r="44" spans="2:13" x14ac:dyDescent="0.25">
      <c r="B44" s="35" t="s">
        <v>125</v>
      </c>
      <c r="E44">
        <v>-2.73</v>
      </c>
      <c r="F44">
        <v>8.86</v>
      </c>
      <c r="G44">
        <v>22.88</v>
      </c>
      <c r="H44">
        <v>-13.4</v>
      </c>
      <c r="I44">
        <v>19.84</v>
      </c>
    </row>
    <row r="45" spans="2:13" x14ac:dyDescent="0.25">
      <c r="B45" s="35" t="s">
        <v>126</v>
      </c>
      <c r="E45">
        <v>-3.28</v>
      </c>
      <c r="F45">
        <v>8.1300000000000008</v>
      </c>
      <c r="G45">
        <v>22.15</v>
      </c>
      <c r="H45">
        <v>-13.93</v>
      </c>
      <c r="I45">
        <v>18.989999999999998</v>
      </c>
    </row>
    <row r="46" spans="2:13" x14ac:dyDescent="0.25">
      <c r="B46" s="35" t="s">
        <v>50</v>
      </c>
      <c r="E46">
        <f>E44-E43</f>
        <v>0.54</v>
      </c>
      <c r="F46">
        <f t="shared" ref="F46:I46" si="8">F44-F43</f>
        <v>0.71999999999999886</v>
      </c>
      <c r="G46">
        <f t="shared" si="8"/>
        <v>0.71999999999999886</v>
      </c>
      <c r="H46">
        <f t="shared" si="8"/>
        <v>0.5</v>
      </c>
      <c r="I46">
        <f t="shared" si="8"/>
        <v>0.71000000000000085</v>
      </c>
      <c r="L46" s="55">
        <f>AVERAGE(F46:I46)</f>
        <v>0.66249999999999964</v>
      </c>
    </row>
    <row r="47" spans="2:13" x14ac:dyDescent="0.25">
      <c r="B47" s="35" t="s">
        <v>51</v>
      </c>
      <c r="E47">
        <f>E45-E43</f>
        <v>-9.9999999999997868E-3</v>
      </c>
      <c r="F47">
        <f t="shared" ref="F47:I47" si="9">F45-F43</f>
        <v>-9.9999999999997868E-3</v>
      </c>
      <c r="G47">
        <f t="shared" si="9"/>
        <v>-1.0000000000001563E-2</v>
      </c>
      <c r="H47">
        <f t="shared" si="9"/>
        <v>-2.9999999999999361E-2</v>
      </c>
      <c r="I47">
        <f t="shared" si="9"/>
        <v>-0.14000000000000057</v>
      </c>
      <c r="M47">
        <f>SUM(F47:I47)</f>
        <v>-0.19000000000000128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Aanames</vt:lpstr>
      <vt:lpstr>Totaal</vt:lpstr>
      <vt:lpstr>IWDA</vt:lpstr>
      <vt:lpstr>EMIM</vt:lpstr>
      <vt:lpstr>IEMS</vt:lpstr>
      <vt:lpstr>IUSN</vt:lpstr>
      <vt:lpstr>IEMM</vt:lpstr>
      <vt:lpstr>IEMA</vt:lpstr>
      <vt:lpstr>IWVL</vt:lpstr>
      <vt:lpstr>TrackingDifference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2020-10-10T15:18:09Z</dcterms:modified>
</cp:coreProperties>
</file>