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iShares\"/>
    </mc:Choice>
  </mc:AlternateContent>
  <xr:revisionPtr revIDLastSave="0" documentId="13_ncr:1_{BAAEA5C7-8B8A-453D-96EE-410F0381460C}" xr6:coauthVersionLast="45" xr6:coauthVersionMax="45" xr10:uidLastSave="{00000000-0000-0000-0000-000000000000}"/>
  <bookViews>
    <workbookView xWindow="-120" yWindow="-120" windowWidth="29040" windowHeight="15840" activeTab="4" xr2:uid="{00000000-000D-0000-FFFF-FFFF00000000}"/>
  </bookViews>
  <sheets>
    <sheet name="Aanames" sheetId="6" r:id="rId1"/>
    <sheet name="IWDA" sheetId="1" r:id="rId2"/>
    <sheet name="EMIM" sheetId="4" r:id="rId3"/>
    <sheet name="Emerging" sheetId="7" r:id="rId4"/>
    <sheet name="IEMS" sheetId="2" r:id="rId5"/>
    <sheet name="IUSN" sheetId="3" r:id="rId6"/>
    <sheet name="TrackingDifference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2" i="2" l="1"/>
  <c r="K12" i="5"/>
  <c r="B23" i="4" s="1"/>
  <c r="L13" i="5"/>
  <c r="I7" i="2"/>
  <c r="G7" i="4"/>
  <c r="C23" i="1"/>
  <c r="I19" i="5" l="1"/>
  <c r="K19" i="5" s="1"/>
  <c r="I13" i="5"/>
  <c r="H13" i="5"/>
  <c r="G13" i="5"/>
  <c r="F13" i="5"/>
  <c r="E13" i="5"/>
  <c r="I12" i="5"/>
  <c r="H12" i="5"/>
  <c r="G12" i="5"/>
  <c r="F12" i="5"/>
  <c r="E12" i="5"/>
  <c r="I6" i="5"/>
  <c r="H6" i="5"/>
  <c r="G6" i="5"/>
  <c r="F6" i="5"/>
  <c r="E6" i="5"/>
  <c r="D6" i="5"/>
  <c r="I5" i="5"/>
  <c r="H5" i="5"/>
  <c r="G5" i="5"/>
  <c r="F5" i="5"/>
  <c r="E5" i="5"/>
  <c r="D5" i="5"/>
  <c r="K5" i="5" l="1"/>
  <c r="L6" i="5"/>
  <c r="I7" i="1" l="1"/>
  <c r="D7" i="3" l="1"/>
  <c r="C12" i="3"/>
  <c r="B12" i="3"/>
  <c r="C8" i="3"/>
  <c r="B8" i="3"/>
  <c r="B16" i="3" l="1"/>
  <c r="B13" i="3"/>
  <c r="C16" i="3"/>
  <c r="C13" i="3"/>
  <c r="C19" i="3"/>
  <c r="B19" i="3"/>
  <c r="D11" i="2"/>
  <c r="D12" i="2" s="1"/>
  <c r="F12" i="4"/>
  <c r="E12" i="4"/>
  <c r="D12" i="4"/>
  <c r="C12" i="4"/>
  <c r="B12" i="4"/>
  <c r="F8" i="4"/>
  <c r="E8" i="4"/>
  <c r="D8" i="4"/>
  <c r="C8" i="4"/>
  <c r="B8" i="4"/>
  <c r="E12" i="2"/>
  <c r="F12" i="2"/>
  <c r="G12" i="2"/>
  <c r="H12" i="2"/>
  <c r="D8" i="2"/>
  <c r="D19" i="2" s="1"/>
  <c r="E8" i="2"/>
  <c r="F8" i="2"/>
  <c r="G8" i="2"/>
  <c r="H8" i="2"/>
  <c r="D12" i="1"/>
  <c r="E12" i="1"/>
  <c r="F12" i="1"/>
  <c r="G12" i="1"/>
  <c r="H12" i="1"/>
  <c r="C12" i="1"/>
  <c r="D8" i="1"/>
  <c r="E8" i="1"/>
  <c r="F8" i="1"/>
  <c r="G8" i="1"/>
  <c r="H8" i="1"/>
  <c r="C12" i="2"/>
  <c r="C8" i="2"/>
  <c r="D16" i="3" l="1"/>
  <c r="D13" i="3"/>
  <c r="C19" i="4"/>
  <c r="C16" i="4"/>
  <c r="C13" i="4"/>
  <c r="D19" i="4"/>
  <c r="D16" i="4"/>
  <c r="D13" i="4"/>
  <c r="E16" i="4"/>
  <c r="E13" i="4"/>
  <c r="B19" i="4"/>
  <c r="G19" i="4" s="1"/>
  <c r="B16" i="4"/>
  <c r="B13" i="4"/>
  <c r="F19" i="4"/>
  <c r="F13" i="4"/>
  <c r="F16" i="4"/>
  <c r="D19" i="3"/>
  <c r="D16" i="2"/>
  <c r="F19" i="2"/>
  <c r="F13" i="2"/>
  <c r="C19" i="2"/>
  <c r="C13" i="2"/>
  <c r="E19" i="2"/>
  <c r="E13" i="2"/>
  <c r="H19" i="2"/>
  <c r="H13" i="2"/>
  <c r="D13" i="2"/>
  <c r="E16" i="2"/>
  <c r="G19" i="2"/>
  <c r="G13" i="2"/>
  <c r="C16" i="2"/>
  <c r="G16" i="1"/>
  <c r="G13" i="1"/>
  <c r="E19" i="1"/>
  <c r="E13" i="1"/>
  <c r="F16" i="1"/>
  <c r="F13" i="1"/>
  <c r="H19" i="1"/>
  <c r="H13" i="1"/>
  <c r="D19" i="1"/>
  <c r="D13" i="1"/>
  <c r="D16" i="1"/>
  <c r="H16" i="1"/>
  <c r="H16" i="2"/>
  <c r="G16" i="2"/>
  <c r="F16" i="2"/>
  <c r="G19" i="1"/>
  <c r="F19" i="1"/>
  <c r="E16" i="1"/>
  <c r="C8" i="1"/>
  <c r="G16" i="4" l="1"/>
  <c r="G13" i="4"/>
  <c r="B26" i="4" s="1"/>
  <c r="C13" i="1"/>
  <c r="I13" i="1" s="1"/>
  <c r="C26" i="1" s="1"/>
  <c r="I16" i="2"/>
  <c r="I13" i="2"/>
  <c r="I19" i="2"/>
  <c r="C16" i="1"/>
  <c r="I16" i="1" s="1"/>
  <c r="C19" i="1"/>
  <c r="I19" i="1" s="1"/>
  <c r="B22" i="4" l="1"/>
  <c r="B24" i="4" s="1"/>
  <c r="C22" i="1"/>
  <c r="C2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K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L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<sst xmlns="http://schemas.openxmlformats.org/spreadsheetml/2006/main" count="134" uniqueCount="75">
  <si>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</si>
  <si>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</si>
  <si>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</si>
  <si>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</si>
  <si>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</si>
  <si>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</si>
  <si>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</si>
  <si>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</si>
  <si>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</si>
  <si>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</si>
  <si>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</si>
  <si>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</si>
  <si>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</si>
  <si>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</si>
  <si>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</si>
  <si>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</si>
  <si>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</si>
  <si>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</si>
  <si>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</si>
  <si>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</si>
  <si>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</si>
  <si>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</si>
  <si>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</si>
  <si>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</si>
  <si>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</si>
  <si>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</si>
  <si>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</si>
  <si>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Tracking difference 2015-2019</t>
  </si>
  <si>
    <t>Gat met kosten benadering</t>
  </si>
  <si>
    <t>% dividend lek</t>
  </si>
  <si>
    <t>Lending income hoog</t>
  </si>
  <si>
    <t>TER blijft hoog</t>
  </si>
  <si>
    <t>Vermogen loopt wat terug</t>
  </si>
  <si>
    <t>Nieuw, benieuwd naar 2020 cijfers</t>
  </si>
  <si>
    <t>Optimized selectie, maar heeft 1611/1637 posities</t>
  </si>
  <si>
    <t>Optimized selectie, maar heeft 1595/1640 posities</t>
  </si>
  <si>
    <t>Optimized selectie, heeft 2655/xxxx posities</t>
  </si>
  <si>
    <t>05-2014 gestart</t>
  </si>
  <si>
    <t>2018 transactiekosten staan niet in jaarverslag</t>
  </si>
  <si>
    <t>Rente kosten neem ik niet mee, meestal weinig. En ook weer rente inkomsten.</t>
  </si>
  <si>
    <t>The TER for iShares Core MSCI EM IMI UCITS ETF changed from 0.25% to 0.18% on 1 June 2018. A revised prospectus was issued on 1 June
2018 to incorporate this change.</t>
  </si>
  <si>
    <t>Dividend lek%</t>
  </si>
  <si>
    <t>iShares Core MSCI Emering Markets IMI UCITS ETF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</si>
  <si>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</si>
  <si>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</si>
  <si>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</si>
  <si>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</si>
  <si>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gem verleden</t>
  </si>
  <si>
    <t>Kosten benadering verleden</t>
  </si>
  <si>
    <t>Tracking difference</t>
  </si>
  <si>
    <t>2015-2019</t>
  </si>
  <si>
    <t>2014-2019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</si>
  <si>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</si>
  <si>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</si>
  <si>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</si>
  <si>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</si>
  <si>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</si>
  <si>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</si>
  <si>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MSCI EMERGING MARKETS IMI (USD) GROSS</t>
  </si>
  <si>
    <t>MSCI EMERGING MARKETS IMI (USD) NET</t>
  </si>
  <si>
    <t>Netto index</t>
  </si>
  <si>
    <t>Bruto index</t>
  </si>
  <si>
    <t>iShares IUSN</t>
  </si>
  <si>
    <t>TD</t>
  </si>
  <si>
    <t>OPNI</t>
  </si>
  <si>
    <t>optimized selectie zit er naast</t>
  </si>
  <si>
    <t>De TER gaat weinig omlaag ook al neemt het vermogen fors toe</t>
  </si>
  <si>
    <t>Gemiddeld vermogen via TER (operation expense) teruggerekend</t>
  </si>
  <si>
    <t>Dus klopt FY2019 misschien niet helemaal</t>
  </si>
  <si>
    <t>todo</t>
  </si>
  <si>
    <t>4 basispunten er naast maar, niet onaardig</t>
  </si>
  <si>
    <t>6 basispunten er naast maar, niet onaardig</t>
  </si>
  <si>
    <t>Optimized selectie, heeft 3303/4263 posities dus tracking diff bekijken geen nut</t>
  </si>
  <si>
    <t>wel gek dat ik meer kosten vind als de tracking difference</t>
  </si>
  <si>
    <t>andere emerging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</si>
</sst>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_ &quot;€&quot;\ * #,##0_ ;_ &quot;€&quot;\ * \-#,##0_ ;_ &quot;€&quot;\ * &quot;-&quot;??_ ;_ @_ "/>
    <numFmt numFmtId="165" formatCode="0.000%"/>
    <numFmt numFmtId="166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5" fontId="0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1" fillId="0" borderId="0" xfId="1" applyNumberFormat="1" applyFont="1" applyFill="1"/>
    <xf numFmtId="165" fontId="0" fillId="0" borderId="0" xfId="1" applyNumberFormat="1" applyFont="1" applyFill="1"/>
    <xf numFmtId="165" fontId="2" fillId="0" borderId="0" xfId="0" applyNumberFormat="1" applyFont="1" applyFill="1"/>
    <xf numFmtId="166" fontId="0" fillId="0" borderId="0" xfId="0" applyNumberFormat="1"/>
    <xf numFmtId="10" fontId="0" fillId="0" borderId="0" xfId="0" applyNumberFormat="1" applyFill="1"/>
    <xf numFmtId="10" fontId="0" fillId="0" borderId="0" xfId="1" applyNumberFormat="1" applyFont="1" applyFill="1"/>
    <xf numFmtId="10" fontId="2" fillId="0" borderId="0" xfId="0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3" fillId="0" borderId="0" xfId="0" applyFont="1" applyAlignment="1"/>
    <xf numFmtId="10" fontId="0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0" fontId="0" fillId="3" borderId="0" xfId="0" applyNumberFormat="1" applyFill="1"/>
  </cellXfs>
  <cellStyles count="3"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0"/>
  <sheetViews>
    <sheetView workbookViewId="0">
      <selection activeCell="B21" sqref="B21"/>
    </sheetView>
  </sheetViews>
  <sheetFormatPr defaultRowHeight="15" x14ac:dyDescent="0.25"/>
  <cols>
    <col min="2" max="2" width="118.5703125" customWidth="1"/>
  </cols>
  <sheetData>
    <row r="2" spans="2:2" x14ac:dyDescent="0.25">
      <c r="B2" s="1" t="s">
        <v>4</v>
      </c>
    </row>
    <row r="3" spans="2:2" x14ac:dyDescent="0.25">
      <c r="B3" s="8" t="s">
        <v>67</v>
      </c>
    </row>
    <row r="4" spans="2:2" x14ac:dyDescent="0.25">
      <c r="B4" s="8" t="s">
        <v>17</v>
      </c>
    </row>
    <row r="5" spans="2:2" x14ac:dyDescent="0.25">
      <c r="B5" s="2"/>
    </row>
    <row r="6" spans="2:2" x14ac:dyDescent="0.25">
      <c r="B6" s="8" t="s">
        <v>18</v>
      </c>
    </row>
    <row r="7" spans="2:2" x14ac:dyDescent="0.25">
      <c r="B7" s="3"/>
    </row>
    <row r="8" spans="2:2" x14ac:dyDescent="0.25">
      <c r="B8" s="8" t="s">
        <v>14</v>
      </c>
    </row>
    <row r="9" spans="2:2" x14ac:dyDescent="0.25">
      <c r="B9" s="8"/>
    </row>
    <row r="10" spans="2:2" x14ac:dyDescent="0.25">
      <c r="B10" s="8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3"/>
  <sheetViews>
    <sheetView topLeftCell="B1" zoomScaleNormal="100" workbookViewId="0">
      <selection activeCell="E22" sqref="E22"/>
    </sheetView>
  </sheetViews>
  <sheetFormatPr defaultRowHeight="15" x14ac:dyDescent="0.25"/>
  <cols>
    <col min="2" max="2" width="30" customWidth="1"/>
    <col min="3" max="8" width="17.7109375" customWidth="1"/>
    <col min="9" max="9" width="14.140625" customWidth="1"/>
    <col min="10" max="10" width="13.28515625" customWidth="1"/>
    <col min="11" max="11" width="91.85546875" customWidth="1"/>
  </cols>
  <sheetData>
    <row r="2" spans="2:11" x14ac:dyDescent="0.25">
      <c r="B2" s="10" t="s">
        <v>6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s="18" t="s">
        <v>19</v>
      </c>
      <c r="C3" s="18"/>
      <c r="D3" s="18"/>
      <c r="E3" s="18"/>
      <c r="F3" s="18"/>
      <c r="G3" s="18"/>
      <c r="H3" s="18"/>
      <c r="I3" s="18"/>
      <c r="K3" s="2" t="s">
        <v>66</v>
      </c>
    </row>
    <row r="4" spans="2:11" x14ac:dyDescent="0.25">
      <c r="B4" s="18"/>
      <c r="C4" s="19">
        <v>2014</v>
      </c>
      <c r="D4" s="19">
        <v>2015</v>
      </c>
      <c r="E4" s="19">
        <v>2016</v>
      </c>
      <c r="F4" s="19">
        <v>2017</v>
      </c>
      <c r="G4" s="19">
        <v>2018</v>
      </c>
      <c r="H4" s="19">
        <v>2019</v>
      </c>
      <c r="I4" s="19" t="s">
        <v>2</v>
      </c>
      <c r="K4" s="2" t="s">
        <v>24</v>
      </c>
    </row>
    <row r="5" spans="2:11" x14ac:dyDescent="0.25">
      <c r="B5" s="20" t="s">
        <v>12</v>
      </c>
      <c r="C5" s="21">
        <v>1487510</v>
      </c>
      <c r="D5" s="21">
        <v>4268212</v>
      </c>
      <c r="E5" s="22">
        <v>6473287</v>
      </c>
      <c r="F5" s="22">
        <v>10938731</v>
      </c>
      <c r="G5" s="22">
        <v>14711738</v>
      </c>
      <c r="H5" s="22">
        <v>19581640</v>
      </c>
      <c r="I5" s="19"/>
      <c r="K5" s="2" t="s">
        <v>25</v>
      </c>
    </row>
    <row r="6" spans="2:11" x14ac:dyDescent="0.25">
      <c r="B6" s="20" t="s">
        <v>11</v>
      </c>
      <c r="C6" s="21">
        <v>3363</v>
      </c>
      <c r="D6" s="21">
        <v>5351</v>
      </c>
      <c r="E6" s="22">
        <v>10764</v>
      </c>
      <c r="F6" s="22">
        <v>17143</v>
      </c>
      <c r="G6" s="22">
        <v>26741</v>
      </c>
      <c r="H6" s="22">
        <v>34465</v>
      </c>
      <c r="I6" s="18"/>
      <c r="K6" s="2" t="s">
        <v>26</v>
      </c>
    </row>
    <row r="7" spans="2:11" x14ac:dyDescent="0.25">
      <c r="B7" s="20" t="s">
        <v>13</v>
      </c>
      <c r="C7" s="23">
        <v>3.8999999999999998E-3</v>
      </c>
      <c r="D7" s="23">
        <v>2E-3</v>
      </c>
      <c r="E7" s="23">
        <v>2E-3</v>
      </c>
      <c r="F7" s="23">
        <v>2E-3</v>
      </c>
      <c r="G7" s="23">
        <v>2E-3</v>
      </c>
      <c r="H7" s="23">
        <v>2E-3</v>
      </c>
      <c r="I7" s="29">
        <f>AVERAGE(C7:H7)</f>
        <v>2.316666666666667E-3</v>
      </c>
      <c r="K7" s="2" t="s">
        <v>34</v>
      </c>
    </row>
    <row r="8" spans="2:11" x14ac:dyDescent="0.25">
      <c r="B8" s="20" t="s">
        <v>16</v>
      </c>
      <c r="C8" s="22">
        <f>C6/C7</f>
        <v>862307.69230769237</v>
      </c>
      <c r="D8" s="22">
        <f t="shared" ref="D8:H8" si="0">D6/D7</f>
        <v>2675500</v>
      </c>
      <c r="E8" s="22">
        <f t="shared" si="0"/>
        <v>5382000</v>
      </c>
      <c r="F8" s="22">
        <f t="shared" si="0"/>
        <v>8571500</v>
      </c>
      <c r="G8" s="22">
        <f t="shared" si="0"/>
        <v>13370500</v>
      </c>
      <c r="H8" s="22">
        <f t="shared" si="0"/>
        <v>17232500</v>
      </c>
      <c r="I8" s="29"/>
    </row>
    <row r="9" spans="2:11" x14ac:dyDescent="0.25">
      <c r="B9" s="20"/>
      <c r="C9" s="30"/>
      <c r="D9" s="30"/>
      <c r="E9" s="30"/>
      <c r="F9" s="30"/>
      <c r="G9" s="30"/>
      <c r="H9" s="30"/>
      <c r="I9" s="29"/>
      <c r="K9" s="2" t="s">
        <v>43</v>
      </c>
    </row>
    <row r="10" spans="2:11" x14ac:dyDescent="0.25">
      <c r="B10" s="20" t="s">
        <v>7</v>
      </c>
      <c r="C10" s="21">
        <v>21877</v>
      </c>
      <c r="D10" s="21">
        <v>68989</v>
      </c>
      <c r="E10" s="22">
        <v>146778</v>
      </c>
      <c r="F10" s="22">
        <v>218802</v>
      </c>
      <c r="G10" s="22">
        <v>323631</v>
      </c>
      <c r="H10" s="22">
        <v>435291</v>
      </c>
      <c r="I10" s="29"/>
      <c r="K10" s="2" t="s">
        <v>45</v>
      </c>
    </row>
    <row r="11" spans="2:11" x14ac:dyDescent="0.25">
      <c r="B11" s="20" t="s">
        <v>9</v>
      </c>
      <c r="C11" s="21">
        <v>2530</v>
      </c>
      <c r="D11" s="21">
        <v>7895</v>
      </c>
      <c r="E11" s="22">
        <v>17329</v>
      </c>
      <c r="F11" s="22">
        <v>25220</v>
      </c>
      <c r="G11" s="22">
        <v>37451</v>
      </c>
      <c r="H11" s="22">
        <v>51767</v>
      </c>
      <c r="I11" s="29"/>
    </row>
    <row r="12" spans="2:11" x14ac:dyDescent="0.25">
      <c r="B12" s="20" t="s">
        <v>10</v>
      </c>
      <c r="C12" s="24">
        <f>C11/C10</f>
        <v>0.11564656945650684</v>
      </c>
      <c r="D12" s="24">
        <f t="shared" ref="D12:H12" si="1">D11/D10</f>
        <v>0.11443853367928221</v>
      </c>
      <c r="E12" s="24">
        <f t="shared" si="1"/>
        <v>0.11806265244110153</v>
      </c>
      <c r="F12" s="24">
        <f t="shared" si="1"/>
        <v>0.11526402866518587</v>
      </c>
      <c r="G12" s="24">
        <f t="shared" si="1"/>
        <v>0.11572129987547547</v>
      </c>
      <c r="H12" s="24">
        <f t="shared" si="1"/>
        <v>0.11892504094961762</v>
      </c>
      <c r="I12" s="29"/>
      <c r="K12" t="s">
        <v>70</v>
      </c>
    </row>
    <row r="13" spans="2:11" x14ac:dyDescent="0.25">
      <c r="B13" s="20" t="s">
        <v>29</v>
      </c>
      <c r="C13" s="30">
        <f t="shared" ref="C13:H13" si="2">C11/C8</f>
        <v>2.9339875111507579E-3</v>
      </c>
      <c r="D13" s="30">
        <f t="shared" si="2"/>
        <v>2.9508503083535789E-3</v>
      </c>
      <c r="E13" s="30">
        <f t="shared" si="2"/>
        <v>3.2198067632850241E-3</v>
      </c>
      <c r="F13" s="30">
        <f t="shared" si="2"/>
        <v>2.9423088140932158E-3</v>
      </c>
      <c r="G13" s="30">
        <f t="shared" si="2"/>
        <v>2.8010171646535285E-3</v>
      </c>
      <c r="H13" s="30">
        <f t="shared" si="2"/>
        <v>3.004033077034673E-3</v>
      </c>
      <c r="I13" s="29">
        <f>AVERAGE(C13:H13)</f>
        <v>2.9753339397617963E-3</v>
      </c>
      <c r="K13" t="s">
        <v>73</v>
      </c>
    </row>
    <row r="14" spans="2:11" x14ac:dyDescent="0.25">
      <c r="B14" s="20"/>
      <c r="C14" s="22"/>
      <c r="D14" s="22"/>
      <c r="E14" s="22"/>
      <c r="F14" s="22"/>
      <c r="G14" s="22"/>
      <c r="H14" s="22"/>
      <c r="I14" s="29"/>
    </row>
    <row r="15" spans="2:11" x14ac:dyDescent="0.25">
      <c r="B15" s="20" t="s">
        <v>8</v>
      </c>
      <c r="C15" s="21">
        <v>7</v>
      </c>
      <c r="D15" s="21">
        <v>349</v>
      </c>
      <c r="E15" s="22">
        <v>947</v>
      </c>
      <c r="F15" s="22">
        <v>2133</v>
      </c>
      <c r="G15" s="22">
        <v>3345</v>
      </c>
      <c r="H15" s="22">
        <v>5560</v>
      </c>
      <c r="I15" s="29"/>
    </row>
    <row r="16" spans="2:11" x14ac:dyDescent="0.25">
      <c r="B16" s="20" t="s">
        <v>21</v>
      </c>
      <c r="C16" s="25">
        <f>C15/C8</f>
        <v>8.1177520071364855E-6</v>
      </c>
      <c r="D16" s="25">
        <f>D15/D8</f>
        <v>1.3044290786768829E-4</v>
      </c>
      <c r="E16" s="25">
        <f>E15/E8</f>
        <v>1.759568933481977E-4</v>
      </c>
      <c r="F16" s="25">
        <f>F15/F8</f>
        <v>2.4884792626728109E-4</v>
      </c>
      <c r="G16" s="25">
        <f>G15/G8</f>
        <v>2.5017762985677424E-4</v>
      </c>
      <c r="H16" s="25">
        <f>H15/H8</f>
        <v>3.2264616277382854E-4</v>
      </c>
      <c r="I16" s="29">
        <f>AVERAGE(C16:H16)</f>
        <v>1.893648786868177E-4</v>
      </c>
    </row>
    <row r="17" spans="2:11" x14ac:dyDescent="0.25">
      <c r="B17" s="20"/>
      <c r="C17" s="21"/>
      <c r="D17" s="21"/>
      <c r="E17" s="22"/>
      <c r="F17" s="22"/>
      <c r="G17" s="22"/>
      <c r="H17" s="22"/>
      <c r="I17" s="29"/>
    </row>
    <row r="18" spans="2:11" x14ac:dyDescent="0.25">
      <c r="B18" s="20" t="s">
        <v>0</v>
      </c>
      <c r="C18" s="20">
        <v>611</v>
      </c>
      <c r="D18" s="21">
        <v>1652</v>
      </c>
      <c r="E18" s="22">
        <v>1649</v>
      </c>
      <c r="F18" s="22">
        <v>2396</v>
      </c>
      <c r="G18" s="22">
        <v>2254</v>
      </c>
      <c r="H18" s="22">
        <v>2701</v>
      </c>
      <c r="I18" s="29"/>
    </row>
    <row r="19" spans="2:11" x14ac:dyDescent="0.25">
      <c r="B19" s="20" t="s">
        <v>1</v>
      </c>
      <c r="C19" s="30">
        <f>C18/C8</f>
        <v>7.0856378233719887E-4</v>
      </c>
      <c r="D19" s="30">
        <f>D18/D8</f>
        <v>6.1745468136796859E-4</v>
      </c>
      <c r="E19" s="30">
        <f>E18/E8</f>
        <v>3.0639167595689337E-4</v>
      </c>
      <c r="F19" s="30">
        <f>F18/F8</f>
        <v>2.7953100390830078E-4</v>
      </c>
      <c r="G19" s="30">
        <f>G18/G8</f>
        <v>1.685800830185857E-4</v>
      </c>
      <c r="H19" s="30">
        <f>H18/H8</f>
        <v>1.5673872044102714E-4</v>
      </c>
      <c r="I19" s="29">
        <f>AVERAGE(C19:H19)</f>
        <v>3.7287665783832907E-4</v>
      </c>
    </row>
    <row r="20" spans="2:11" x14ac:dyDescent="0.25">
      <c r="B20" s="20"/>
      <c r="C20" s="30"/>
      <c r="D20" s="30"/>
      <c r="E20" s="30"/>
      <c r="F20" s="30"/>
      <c r="G20" s="30"/>
      <c r="H20" s="30"/>
      <c r="I20" s="29"/>
    </row>
    <row r="21" spans="2:11" x14ac:dyDescent="0.25">
      <c r="B21" s="18"/>
      <c r="C21" s="18"/>
      <c r="D21" s="18"/>
      <c r="E21" s="18"/>
      <c r="F21" s="18"/>
      <c r="G21" s="18"/>
      <c r="H21" s="18"/>
      <c r="I21" s="26"/>
    </row>
    <row r="22" spans="2:11" x14ac:dyDescent="0.25">
      <c r="B22" s="18" t="s">
        <v>48</v>
      </c>
      <c r="C22" s="29">
        <f>I7+I13-I16+I19</f>
        <v>5.4755123855799743E-3</v>
      </c>
      <c r="D22" s="18" t="s">
        <v>51</v>
      </c>
      <c r="E22" s="27"/>
      <c r="F22" s="27"/>
      <c r="G22" s="26"/>
      <c r="H22" s="26"/>
      <c r="I22" s="26"/>
      <c r="K22" s="8"/>
    </row>
    <row r="23" spans="2:11" x14ac:dyDescent="0.25">
      <c r="B23" s="18" t="s">
        <v>49</v>
      </c>
      <c r="C23" s="29">
        <f>TrackingDifference!K5/100</f>
        <v>5.0499999999999989E-3</v>
      </c>
      <c r="D23" t="s">
        <v>51</v>
      </c>
      <c r="E23" s="18"/>
      <c r="F23" s="18"/>
      <c r="G23" s="18"/>
      <c r="H23" s="18"/>
      <c r="I23" s="18"/>
      <c r="K23" s="8"/>
    </row>
    <row r="24" spans="2:11" x14ac:dyDescent="0.25">
      <c r="B24" s="18" t="s">
        <v>28</v>
      </c>
      <c r="C24" s="29">
        <f>C23-C22</f>
        <v>-4.2551238557997535E-4</v>
      </c>
      <c r="D24" s="18"/>
      <c r="E24" s="18"/>
      <c r="F24" s="18"/>
      <c r="G24" s="18"/>
      <c r="H24" s="18"/>
      <c r="I24" s="18"/>
      <c r="K24" s="8"/>
    </row>
    <row r="25" spans="2:11" x14ac:dyDescent="0.25">
      <c r="C25" s="18"/>
      <c r="D25" s="18"/>
      <c r="E25" s="18"/>
      <c r="F25" s="18"/>
      <c r="G25" s="18"/>
      <c r="H25" s="18"/>
      <c r="I25" s="18"/>
      <c r="J25" s="6"/>
      <c r="K25" s="8"/>
    </row>
    <row r="26" spans="2:11" x14ac:dyDescent="0.25">
      <c r="B26" s="19" t="s">
        <v>3</v>
      </c>
      <c r="C26" s="31">
        <f>H7+I13-G16+H19</f>
        <v>4.8818950303460493E-3</v>
      </c>
      <c r="J26" s="6"/>
      <c r="K26" s="8"/>
    </row>
    <row r="27" spans="2:11" x14ac:dyDescent="0.25">
      <c r="J27" s="6"/>
    </row>
    <row r="28" spans="2:11" x14ac:dyDescent="0.25">
      <c r="B28" s="1"/>
      <c r="C28" s="1"/>
      <c r="D28" s="12"/>
      <c r="E28" s="12"/>
      <c r="F28" s="12"/>
      <c r="G28" s="5"/>
      <c r="H28" s="5"/>
      <c r="I28" s="5"/>
      <c r="J28" s="6"/>
    </row>
    <row r="29" spans="2:11" x14ac:dyDescent="0.25">
      <c r="B29" s="1"/>
      <c r="C29" s="1"/>
      <c r="D29" s="12"/>
      <c r="E29" s="12"/>
      <c r="F29" s="12"/>
      <c r="G29" s="5"/>
      <c r="H29" s="5"/>
      <c r="I29" s="5"/>
      <c r="J29" s="6"/>
    </row>
    <row r="30" spans="2:11" x14ac:dyDescent="0.25">
      <c r="B30" s="1"/>
      <c r="C30" s="1"/>
      <c r="D30" s="12"/>
      <c r="E30" s="12"/>
      <c r="F30" s="12"/>
      <c r="G30" s="5"/>
      <c r="H30" s="5"/>
      <c r="I30" s="5"/>
      <c r="J30" s="6"/>
    </row>
    <row r="31" spans="2:11" x14ac:dyDescent="0.25">
      <c r="B31" s="1"/>
      <c r="C31" s="1"/>
      <c r="D31" s="12"/>
      <c r="E31" s="12"/>
      <c r="F31" s="12"/>
      <c r="G31" s="5"/>
      <c r="H31" s="5"/>
      <c r="I31" s="5"/>
      <c r="J31" s="6"/>
    </row>
    <row r="32" spans="2:11" x14ac:dyDescent="0.25">
      <c r="B32" s="1"/>
      <c r="C32" s="1"/>
      <c r="D32" s="12"/>
      <c r="E32" s="12"/>
      <c r="F32" s="12"/>
      <c r="G32" s="5"/>
      <c r="H32" s="5"/>
      <c r="I32" s="5"/>
      <c r="J32" s="6"/>
    </row>
    <row r="33" spans="2:10" x14ac:dyDescent="0.25">
      <c r="B33" s="1"/>
      <c r="C33" s="1"/>
      <c r="D33" s="12"/>
      <c r="E33" s="12"/>
      <c r="F33" s="12"/>
      <c r="G33" s="5"/>
      <c r="H33" s="5"/>
      <c r="I33" s="5"/>
      <c r="J33" s="6"/>
    </row>
    <row r="34" spans="2:10" x14ac:dyDescent="0.25">
      <c r="B34" s="1"/>
      <c r="C34" s="1"/>
      <c r="D34" s="12"/>
      <c r="E34" s="12"/>
      <c r="F34" s="12"/>
      <c r="G34" s="5"/>
      <c r="H34" s="5"/>
      <c r="I34" s="5"/>
      <c r="J34" s="6"/>
    </row>
    <row r="35" spans="2:10" x14ac:dyDescent="0.25">
      <c r="B35" s="1"/>
      <c r="C35" s="1"/>
      <c r="D35" s="12"/>
      <c r="E35" s="12"/>
      <c r="F35" s="12"/>
      <c r="G35" s="5"/>
      <c r="H35" s="5"/>
      <c r="I35" s="5"/>
      <c r="J35" s="6"/>
    </row>
    <row r="36" spans="2:10" x14ac:dyDescent="0.25">
      <c r="B36" s="1"/>
      <c r="C36" s="1"/>
      <c r="D36" s="12"/>
      <c r="E36" s="12"/>
      <c r="F36" s="12"/>
      <c r="G36" s="5"/>
      <c r="H36" s="5"/>
      <c r="I36" s="5"/>
      <c r="J36" s="6"/>
    </row>
    <row r="37" spans="2:10" x14ac:dyDescent="0.25">
      <c r="B37" s="1"/>
      <c r="C37" s="1"/>
      <c r="D37" s="12"/>
      <c r="E37" s="12"/>
      <c r="F37" s="12"/>
      <c r="G37" s="5"/>
      <c r="H37" s="5"/>
      <c r="I37" s="5"/>
      <c r="J37" s="6"/>
    </row>
    <row r="38" spans="2:10" x14ac:dyDescent="0.25">
      <c r="B38" s="1"/>
      <c r="C38" s="1"/>
      <c r="D38" s="12"/>
      <c r="E38" s="12"/>
      <c r="F38" s="12"/>
      <c r="G38" s="5"/>
      <c r="H38" s="5"/>
      <c r="I38" s="5"/>
      <c r="J38" s="6"/>
    </row>
    <row r="39" spans="2:10" x14ac:dyDescent="0.25">
      <c r="B39" s="1"/>
      <c r="C39" s="1"/>
      <c r="D39" s="12"/>
      <c r="E39" s="12"/>
      <c r="F39" s="12"/>
      <c r="G39" s="5"/>
      <c r="H39" s="5"/>
      <c r="I39" s="5"/>
      <c r="J39" s="6"/>
    </row>
    <row r="40" spans="2:10" x14ac:dyDescent="0.25">
      <c r="B40" s="1"/>
      <c r="C40" s="1"/>
      <c r="D40" s="12"/>
      <c r="E40" s="12"/>
      <c r="F40" s="12"/>
      <c r="G40" s="5"/>
      <c r="H40" s="5"/>
      <c r="I40" s="5"/>
      <c r="J40" s="6"/>
    </row>
    <row r="41" spans="2:10" x14ac:dyDescent="0.25">
      <c r="B41" s="1"/>
      <c r="C41" s="1"/>
      <c r="D41" s="12"/>
      <c r="E41" s="12"/>
      <c r="F41" s="12"/>
      <c r="G41" s="5"/>
      <c r="H41" s="5"/>
      <c r="I41" s="5"/>
      <c r="J41" s="6"/>
    </row>
    <row r="42" spans="2:10" x14ac:dyDescent="0.25">
      <c r="B42" s="1"/>
      <c r="C42" s="1"/>
      <c r="D42" s="12"/>
      <c r="E42" s="12"/>
      <c r="F42" s="12"/>
      <c r="G42" s="5"/>
      <c r="H42" s="5"/>
      <c r="I42" s="5"/>
      <c r="J42" s="6"/>
    </row>
    <row r="43" spans="2:10" x14ac:dyDescent="0.25">
      <c r="B43" s="1"/>
      <c r="C43" s="1"/>
      <c r="D43" s="12"/>
      <c r="E43" s="12"/>
      <c r="F43" s="12"/>
      <c r="G43" s="5"/>
      <c r="H43" s="5"/>
      <c r="I43" s="5"/>
      <c r="J43" s="6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I26"/>
  <sheetViews>
    <sheetView zoomScaleNormal="100" workbookViewId="0">
      <selection activeCell="B26" sqref="B26"/>
    </sheetView>
  </sheetViews>
  <sheetFormatPr defaultRowHeight="15" x14ac:dyDescent="0.25"/>
  <cols>
    <col min="1" max="1" width="38.5703125" customWidth="1"/>
    <col min="2" max="6" width="17.7109375" customWidth="1"/>
    <col min="7" max="7" width="15" customWidth="1"/>
    <col min="8" max="8" width="13.28515625" customWidth="1"/>
    <col min="9" max="9" width="91.85546875" customWidth="1"/>
  </cols>
  <sheetData>
    <row r="2" spans="1:9" x14ac:dyDescent="0.25">
      <c r="A2" s="10" t="s">
        <v>42</v>
      </c>
      <c r="B2" s="9"/>
      <c r="C2" s="9"/>
      <c r="D2" s="9"/>
      <c r="E2" s="9"/>
      <c r="F2" s="9"/>
      <c r="G2" s="9"/>
      <c r="I2" s="1" t="s">
        <v>5</v>
      </c>
    </row>
    <row r="3" spans="1:9" x14ac:dyDescent="0.25">
      <c r="A3" t="s">
        <v>37</v>
      </c>
      <c r="I3" s="35" t="s">
        <v>40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2</v>
      </c>
      <c r="I4" s="35" t="s">
        <v>68</v>
      </c>
    </row>
    <row r="5" spans="1:9" x14ac:dyDescent="0.25">
      <c r="A5" s="2" t="s">
        <v>12</v>
      </c>
      <c r="B5" s="16">
        <v>1055668</v>
      </c>
      <c r="C5" s="16">
        <v>1594449</v>
      </c>
      <c r="D5" s="16">
        <v>4605402</v>
      </c>
      <c r="E5" s="16">
        <v>9460691</v>
      </c>
      <c r="F5" s="16">
        <v>12495330</v>
      </c>
      <c r="G5" s="2"/>
    </row>
    <row r="6" spans="1:9" x14ac:dyDescent="0.25">
      <c r="A6" s="2" t="s">
        <v>11</v>
      </c>
      <c r="B6" s="16">
        <v>763</v>
      </c>
      <c r="C6" s="16">
        <v>3182</v>
      </c>
      <c r="D6" s="16">
        <v>8100</v>
      </c>
      <c r="E6" s="16">
        <v>17606</v>
      </c>
      <c r="F6" s="16">
        <v>19891</v>
      </c>
      <c r="G6" s="2"/>
      <c r="I6" s="2" t="s">
        <v>38</v>
      </c>
    </row>
    <row r="7" spans="1:9" x14ac:dyDescent="0.25">
      <c r="A7" s="2" t="s">
        <v>13</v>
      </c>
      <c r="B7" s="17">
        <v>2.5000000000000001E-3</v>
      </c>
      <c r="C7" s="17">
        <v>2.5000000000000001E-3</v>
      </c>
      <c r="D7" s="17">
        <v>2.5000000000000001E-3</v>
      </c>
      <c r="E7" s="17">
        <v>2.5000000000000001E-3</v>
      </c>
      <c r="F7" s="17">
        <v>1.8E-3</v>
      </c>
      <c r="G7" s="36">
        <f>AVERAGE(B7:F7)</f>
        <v>2.3600000000000001E-3</v>
      </c>
      <c r="I7" s="2" t="s">
        <v>36</v>
      </c>
    </row>
    <row r="8" spans="1:9" x14ac:dyDescent="0.25">
      <c r="A8" s="2" t="s">
        <v>16</v>
      </c>
      <c r="B8" s="16">
        <f t="shared" ref="B8:F8" si="0">B6/B7</f>
        <v>305200</v>
      </c>
      <c r="C8" s="16">
        <f t="shared" si="0"/>
        <v>1272800</v>
      </c>
      <c r="D8" s="16">
        <f t="shared" si="0"/>
        <v>3240000</v>
      </c>
      <c r="E8" s="16">
        <f t="shared" si="0"/>
        <v>7042400</v>
      </c>
      <c r="F8" s="16">
        <f t="shared" si="0"/>
        <v>11050555.555555556</v>
      </c>
      <c r="G8" s="2"/>
      <c r="I8" s="2" t="s">
        <v>45</v>
      </c>
    </row>
    <row r="9" spans="1:9" x14ac:dyDescent="0.25">
      <c r="A9" s="20"/>
      <c r="B9" s="4"/>
      <c r="C9" s="4"/>
      <c r="D9" s="4"/>
      <c r="E9" s="4"/>
      <c r="F9" s="4"/>
      <c r="G9" s="2"/>
      <c r="I9" s="2" t="s">
        <v>46</v>
      </c>
    </row>
    <row r="10" spans="1:9" x14ac:dyDescent="0.25">
      <c r="A10" s="2" t="s">
        <v>7</v>
      </c>
      <c r="B10" s="16">
        <v>4988</v>
      </c>
      <c r="C10" s="16">
        <v>34764</v>
      </c>
      <c r="D10" s="16">
        <v>79612</v>
      </c>
      <c r="E10" s="16">
        <v>172015</v>
      </c>
      <c r="F10" s="16">
        <v>276851</v>
      </c>
      <c r="G10" s="2"/>
      <c r="I10" s="8"/>
    </row>
    <row r="11" spans="1:9" x14ac:dyDescent="0.25">
      <c r="A11" s="2" t="s">
        <v>9</v>
      </c>
      <c r="B11" s="16">
        <v>661</v>
      </c>
      <c r="C11" s="16">
        <v>3983</v>
      </c>
      <c r="D11" s="16">
        <v>10068</v>
      </c>
      <c r="E11" s="16">
        <v>21696</v>
      </c>
      <c r="F11" s="16">
        <v>38608</v>
      </c>
      <c r="G11" s="2"/>
      <c r="I11" t="s">
        <v>71</v>
      </c>
    </row>
    <row r="12" spans="1:9" x14ac:dyDescent="0.25">
      <c r="A12" s="2" t="s">
        <v>10</v>
      </c>
      <c r="B12" s="33">
        <f t="shared" ref="B12:F12" si="1">B11/B10</f>
        <v>0.13251804330392944</v>
      </c>
      <c r="C12" s="33">
        <f t="shared" si="1"/>
        <v>0.11457254631227706</v>
      </c>
      <c r="D12" s="33">
        <f t="shared" si="1"/>
        <v>0.12646334723408531</v>
      </c>
      <c r="E12" s="33">
        <f t="shared" si="1"/>
        <v>0.12612853530215387</v>
      </c>
      <c r="F12" s="33">
        <f t="shared" si="1"/>
        <v>0.13945407457441006</v>
      </c>
      <c r="G12" s="2"/>
      <c r="I12" t="s">
        <v>73</v>
      </c>
    </row>
    <row r="13" spans="1:9" x14ac:dyDescent="0.25">
      <c r="A13" s="2" t="s">
        <v>41</v>
      </c>
      <c r="B13" s="17">
        <f>B11/B8</f>
        <v>2.1657929226736568E-3</v>
      </c>
      <c r="C13" s="17">
        <f>C11/C8</f>
        <v>3.1293211816467632E-3</v>
      </c>
      <c r="D13" s="17">
        <f>D11/D8</f>
        <v>3.1074074074074073E-3</v>
      </c>
      <c r="E13" s="17">
        <f>E11/E8</f>
        <v>3.0807679200272635E-3</v>
      </c>
      <c r="F13" s="17">
        <f>F11/F8</f>
        <v>3.4937609974360264E-3</v>
      </c>
      <c r="G13" s="36">
        <f>AVERAGE(B13:F13)</f>
        <v>2.9954100858382232E-3</v>
      </c>
    </row>
    <row r="14" spans="1:9" x14ac:dyDescent="0.25">
      <c r="A14" s="2"/>
      <c r="B14" s="16"/>
      <c r="C14" s="16"/>
      <c r="D14" s="16"/>
      <c r="E14" s="16"/>
      <c r="F14" s="16"/>
      <c r="G14" s="2"/>
      <c r="I14" s="8"/>
    </row>
    <row r="15" spans="1:9" x14ac:dyDescent="0.25">
      <c r="A15" s="2" t="s">
        <v>8</v>
      </c>
      <c r="B15" s="16">
        <v>29</v>
      </c>
      <c r="C15" s="16">
        <v>610</v>
      </c>
      <c r="D15" s="16">
        <v>4933</v>
      </c>
      <c r="E15" s="16">
        <v>9146</v>
      </c>
      <c r="F15" s="16">
        <v>10433</v>
      </c>
      <c r="G15" s="2"/>
      <c r="I15" s="2"/>
    </row>
    <row r="16" spans="1:9" x14ac:dyDescent="0.25">
      <c r="A16" s="2" t="s">
        <v>21</v>
      </c>
      <c r="B16" s="17">
        <f>B15/B8</f>
        <v>9.5019659239842721E-5</v>
      </c>
      <c r="C16" s="17">
        <f>C15/C8</f>
        <v>4.7925832809553738E-4</v>
      </c>
      <c r="D16" s="17">
        <f>D15/D8</f>
        <v>1.5225308641975308E-3</v>
      </c>
      <c r="E16" s="17">
        <f>E15/E8</f>
        <v>1.2987049869362718E-3</v>
      </c>
      <c r="F16" s="17">
        <f>F15/F8</f>
        <v>9.4411542908853243E-4</v>
      </c>
      <c r="G16" s="36">
        <f>AVERAGE(B16:F16)</f>
        <v>8.6792585351154299E-4</v>
      </c>
    </row>
    <row r="17" spans="1:8" x14ac:dyDescent="0.25">
      <c r="A17" s="2"/>
      <c r="B17" s="16"/>
      <c r="C17" s="16"/>
      <c r="D17" s="16"/>
      <c r="E17" s="16"/>
      <c r="F17" s="16"/>
      <c r="G17" s="2"/>
    </row>
    <row r="18" spans="1:8" x14ac:dyDescent="0.25">
      <c r="A18" s="2" t="s">
        <v>0</v>
      </c>
      <c r="B18" s="16">
        <v>875</v>
      </c>
      <c r="C18" s="16">
        <v>1451</v>
      </c>
      <c r="D18" s="16">
        <v>2644</v>
      </c>
      <c r="E18" s="16"/>
      <c r="F18" s="16">
        <v>5320</v>
      </c>
      <c r="G18" s="2"/>
    </row>
    <row r="19" spans="1:8" x14ac:dyDescent="0.25">
      <c r="A19" s="2" t="s">
        <v>1</v>
      </c>
      <c r="B19" s="17">
        <f>B18/B8</f>
        <v>2.8669724770642203E-3</v>
      </c>
      <c r="C19" s="17">
        <f>C18/C8</f>
        <v>1.1400062853551226E-3</v>
      </c>
      <c r="D19" s="17">
        <f>D18/D8</f>
        <v>8.160493827160494E-4</v>
      </c>
      <c r="E19" s="17"/>
      <c r="F19" s="17">
        <f>F18/F8</f>
        <v>4.8142375948921623E-4</v>
      </c>
      <c r="G19" s="36">
        <f>AVERAGE(B19:F19)</f>
        <v>1.326112976156152E-3</v>
      </c>
    </row>
    <row r="20" spans="1:8" x14ac:dyDescent="0.25">
      <c r="A20" s="2"/>
      <c r="B20" s="13"/>
      <c r="C20" s="13"/>
      <c r="D20" s="13"/>
      <c r="E20" s="34"/>
      <c r="F20" s="34"/>
      <c r="G20" s="34"/>
    </row>
    <row r="21" spans="1:8" x14ac:dyDescent="0.25">
      <c r="A21" s="1"/>
      <c r="B21" s="12"/>
      <c r="C21" s="12"/>
      <c r="D21" s="12"/>
      <c r="E21" s="5"/>
      <c r="F21" s="5"/>
      <c r="G21" s="5"/>
    </row>
    <row r="22" spans="1:8" x14ac:dyDescent="0.25">
      <c r="A22" s="18" t="s">
        <v>48</v>
      </c>
      <c r="B22" s="7">
        <f>G7+G13-G16+G19</f>
        <v>5.8135972084828319E-3</v>
      </c>
      <c r="C22" t="s">
        <v>50</v>
      </c>
      <c r="H22" s="6"/>
    </row>
    <row r="23" spans="1:8" x14ac:dyDescent="0.25">
      <c r="A23" s="18" t="s">
        <v>49</v>
      </c>
      <c r="B23" s="7">
        <f>TrackingDifference!K12/100</f>
        <v>5.1800000000000136E-3</v>
      </c>
      <c r="C23" t="s">
        <v>50</v>
      </c>
    </row>
    <row r="24" spans="1:8" x14ac:dyDescent="0.25">
      <c r="A24" s="18" t="s">
        <v>28</v>
      </c>
      <c r="B24" s="7">
        <f>B23-B22</f>
        <v>-6.3359720848281832E-4</v>
      </c>
      <c r="C24" s="18"/>
    </row>
    <row r="26" spans="1:8" x14ac:dyDescent="0.25">
      <c r="A26" s="1" t="s">
        <v>3</v>
      </c>
      <c r="B26" s="32">
        <f>F7+G13-G16+AVERAGE(D19:F19)</f>
        <v>4.5762208034293133E-3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48FBD-6D4E-468D-BBE5-71CE4F661AE0}">
  <dimension ref="B2"/>
  <sheetViews>
    <sheetView workbookViewId="0">
      <selection activeCell="B3" sqref="B3"/>
    </sheetView>
  </sheetViews>
  <sheetFormatPr defaultRowHeight="15" x14ac:dyDescent="0.25"/>
  <sheetData>
    <row r="2" spans="2:2" x14ac:dyDescent="0.25">
      <c r="B2" t="s">
        <v>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B2:K26"/>
  <sheetViews>
    <sheetView tabSelected="1" topLeftCell="B1" zoomScaleNormal="100" workbookViewId="0">
      <selection activeCell="E30" sqref="E30"/>
    </sheetView>
  </sheetViews>
  <sheetFormatPr defaultRowHeight="15" x14ac:dyDescent="0.25"/>
  <cols>
    <col min="2" max="2" width="30" customWidth="1"/>
    <col min="3" max="8" width="17.7109375" customWidth="1"/>
    <col min="9" max="9" width="15" customWidth="1"/>
    <col min="10" max="10" width="13.28515625" customWidth="1"/>
    <col min="11" max="11" width="91.85546875" customWidth="1"/>
  </cols>
  <sheetData>
    <row r="2" spans="2:11" x14ac:dyDescent="0.25">
      <c r="B2" s="10" t="s">
        <v>15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t="s">
        <v>20</v>
      </c>
      <c r="K3" t="s">
        <v>32</v>
      </c>
    </row>
    <row r="4" spans="2:11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</v>
      </c>
      <c r="K4" s="2" t="s">
        <v>31</v>
      </c>
    </row>
    <row r="5" spans="2:11" x14ac:dyDescent="0.25">
      <c r="B5" s="2" t="s">
        <v>12</v>
      </c>
      <c r="C5" s="16">
        <v>427535</v>
      </c>
      <c r="D5" s="16">
        <v>342236</v>
      </c>
      <c r="E5" s="11">
        <v>304119</v>
      </c>
      <c r="F5" s="11">
        <v>361091</v>
      </c>
      <c r="G5" s="11">
        <v>444594</v>
      </c>
      <c r="H5" s="11">
        <v>307508</v>
      </c>
      <c r="I5" s="1"/>
      <c r="K5" s="2" t="s">
        <v>30</v>
      </c>
    </row>
    <row r="6" spans="2:11" x14ac:dyDescent="0.25">
      <c r="B6" s="2" t="s">
        <v>11</v>
      </c>
      <c r="C6" s="16">
        <v>2914</v>
      </c>
      <c r="D6" s="16">
        <v>2987</v>
      </c>
      <c r="E6" s="11">
        <v>1990</v>
      </c>
      <c r="F6" s="11">
        <v>2533</v>
      </c>
      <c r="G6" s="11">
        <v>3152</v>
      </c>
      <c r="H6" s="11">
        <v>2713</v>
      </c>
      <c r="K6" s="2" t="s">
        <v>35</v>
      </c>
    </row>
    <row r="7" spans="2:11" x14ac:dyDescent="0.25">
      <c r="B7" s="2" t="s">
        <v>13</v>
      </c>
      <c r="C7" s="17">
        <v>7.4000000000000003E-3</v>
      </c>
      <c r="D7" s="17">
        <v>7.4000000000000003E-3</v>
      </c>
      <c r="E7" s="17">
        <v>7.4000000000000003E-3</v>
      </c>
      <c r="F7" s="17">
        <v>7.4000000000000003E-3</v>
      </c>
      <c r="G7" s="17">
        <v>7.4000000000000003E-3</v>
      </c>
      <c r="H7" s="17">
        <v>7.4000000000000003E-3</v>
      </c>
      <c r="I7" s="7">
        <f>AVERAGE(C7:H7)</f>
        <v>7.4000000000000012E-3</v>
      </c>
      <c r="K7" s="2" t="s">
        <v>44</v>
      </c>
    </row>
    <row r="8" spans="2:11" x14ac:dyDescent="0.25">
      <c r="B8" s="2" t="s">
        <v>16</v>
      </c>
      <c r="C8" s="11">
        <f>C6/C7</f>
        <v>393783.78378378379</v>
      </c>
      <c r="D8" s="11">
        <f t="shared" ref="D8:H8" si="0">D6/D7</f>
        <v>403648.64864864864</v>
      </c>
      <c r="E8" s="11">
        <f t="shared" si="0"/>
        <v>268918.91891891893</v>
      </c>
      <c r="F8" s="11">
        <f t="shared" si="0"/>
        <v>342297.29729729728</v>
      </c>
      <c r="G8" s="11">
        <f t="shared" si="0"/>
        <v>425945.94594594592</v>
      </c>
      <c r="H8" s="11">
        <f t="shared" si="0"/>
        <v>366621.6216216216</v>
      </c>
      <c r="I8" s="32"/>
      <c r="K8" s="8"/>
    </row>
    <row r="9" spans="2:11" x14ac:dyDescent="0.25">
      <c r="C9" s="1"/>
      <c r="D9" s="1"/>
      <c r="E9" s="1"/>
      <c r="F9" s="1"/>
      <c r="G9" s="1"/>
      <c r="H9" s="1"/>
      <c r="I9" s="32"/>
      <c r="K9" s="2"/>
    </row>
    <row r="10" spans="2:11" x14ac:dyDescent="0.25">
      <c r="B10" s="2" t="s">
        <v>7</v>
      </c>
      <c r="C10" s="16">
        <v>9100</v>
      </c>
      <c r="D10" s="16">
        <v>9515</v>
      </c>
      <c r="E10" s="11">
        <v>6692</v>
      </c>
      <c r="F10" s="11">
        <v>7276</v>
      </c>
      <c r="G10" s="11">
        <v>9853</v>
      </c>
      <c r="H10" s="11">
        <v>9792</v>
      </c>
      <c r="I10" s="7"/>
      <c r="K10" s="8"/>
    </row>
    <row r="11" spans="2:11" x14ac:dyDescent="0.25">
      <c r="B11" s="2" t="s">
        <v>9</v>
      </c>
      <c r="C11" s="16">
        <v>1037</v>
      </c>
      <c r="D11" s="16">
        <f>1078+163</f>
        <v>1241</v>
      </c>
      <c r="E11" s="11">
        <v>742</v>
      </c>
      <c r="F11" s="11">
        <v>928</v>
      </c>
      <c r="G11" s="11">
        <v>1434</v>
      </c>
      <c r="H11" s="11">
        <v>2132</v>
      </c>
      <c r="I11" s="7"/>
      <c r="K11" s="1"/>
    </row>
    <row r="12" spans="2:11" x14ac:dyDescent="0.25">
      <c r="B12" s="2" t="s">
        <v>10</v>
      </c>
      <c r="C12" s="14">
        <f t="shared" ref="C12:H12" si="1">C11/C10</f>
        <v>0.11395604395604396</v>
      </c>
      <c r="D12" s="14">
        <f t="shared" si="1"/>
        <v>0.13042564372044141</v>
      </c>
      <c r="E12" s="14">
        <f t="shared" si="1"/>
        <v>0.11087866108786611</v>
      </c>
      <c r="F12" s="14">
        <f t="shared" si="1"/>
        <v>0.12754260582737767</v>
      </c>
      <c r="G12" s="14">
        <f t="shared" si="1"/>
        <v>0.14553942961534558</v>
      </c>
      <c r="H12" s="14">
        <f t="shared" si="1"/>
        <v>0.21772875816993464</v>
      </c>
      <c r="I12" s="7"/>
    </row>
    <row r="13" spans="2:11" x14ac:dyDescent="0.25">
      <c r="B13" s="20" t="s">
        <v>29</v>
      </c>
      <c r="C13" s="4">
        <f>C11/C8</f>
        <v>2.6334248455730956E-3</v>
      </c>
      <c r="D13" s="4">
        <f t="shared" ref="D13:H13" si="2">D11/D8</f>
        <v>3.0744559758955473E-3</v>
      </c>
      <c r="E13" s="4">
        <f t="shared" si="2"/>
        <v>2.7591959798994974E-3</v>
      </c>
      <c r="F13" s="4">
        <f t="shared" si="2"/>
        <v>2.7110935649427557E-3</v>
      </c>
      <c r="G13" s="4">
        <f t="shared" si="2"/>
        <v>3.3666243654822338E-3</v>
      </c>
      <c r="H13" s="4">
        <f t="shared" si="2"/>
        <v>5.8152598599336535E-3</v>
      </c>
      <c r="I13" s="7">
        <f>AVERAGE(C13:H13)</f>
        <v>3.3933424319544637E-3</v>
      </c>
    </row>
    <row r="14" spans="2:11" x14ac:dyDescent="0.25">
      <c r="B14" s="2"/>
      <c r="C14" s="11"/>
      <c r="D14" s="11"/>
      <c r="E14" s="11"/>
      <c r="F14" s="11"/>
      <c r="G14" s="11"/>
      <c r="H14" s="11"/>
      <c r="I14" s="7"/>
    </row>
    <row r="15" spans="2:11" x14ac:dyDescent="0.25">
      <c r="B15" s="2" t="s">
        <v>8</v>
      </c>
      <c r="C15" s="16">
        <v>848</v>
      </c>
      <c r="D15" s="16">
        <v>1320</v>
      </c>
      <c r="E15" s="11">
        <v>1337</v>
      </c>
      <c r="F15" s="11">
        <v>1589</v>
      </c>
      <c r="G15" s="11">
        <v>2300</v>
      </c>
      <c r="H15" s="11">
        <v>2187</v>
      </c>
      <c r="I15" s="7"/>
    </row>
    <row r="16" spans="2:11" x14ac:dyDescent="0.25">
      <c r="B16" s="2" t="s">
        <v>21</v>
      </c>
      <c r="C16" s="17">
        <f>C15/C8</f>
        <v>2.1534660260809882E-3</v>
      </c>
      <c r="D16" s="17">
        <f>D15/D8</f>
        <v>3.2701707398727822E-3</v>
      </c>
      <c r="E16" s="17">
        <f t="shared" ref="E16:H16" si="3">E15/E8</f>
        <v>4.9717587939698488E-3</v>
      </c>
      <c r="F16" s="17">
        <f t="shared" si="3"/>
        <v>4.6421634425582317E-3</v>
      </c>
      <c r="G16" s="17">
        <f t="shared" si="3"/>
        <v>5.3997461928934013E-3</v>
      </c>
      <c r="H16" s="17">
        <f t="shared" si="3"/>
        <v>5.9652782897161817E-3</v>
      </c>
      <c r="I16" s="7">
        <f>AVERAGE(C16:H16)</f>
        <v>4.4004305808485727E-3</v>
      </c>
    </row>
    <row r="17" spans="2:11" x14ac:dyDescent="0.25">
      <c r="B17" s="2"/>
      <c r="C17" s="11"/>
      <c r="D17" s="11"/>
      <c r="E17" s="11"/>
      <c r="F17" s="11"/>
      <c r="G17" s="11"/>
      <c r="H17" s="11"/>
      <c r="I17" s="7"/>
    </row>
    <row r="18" spans="2:11" x14ac:dyDescent="0.25">
      <c r="B18" s="2" t="s">
        <v>0</v>
      </c>
      <c r="C18" s="2">
        <v>622</v>
      </c>
      <c r="D18" s="16">
        <v>712</v>
      </c>
      <c r="E18" s="11">
        <v>349</v>
      </c>
      <c r="F18" s="11">
        <v>512</v>
      </c>
      <c r="G18" s="11">
        <v>405</v>
      </c>
      <c r="H18" s="11">
        <v>466</v>
      </c>
      <c r="I18" s="7"/>
    </row>
    <row r="19" spans="2:11" x14ac:dyDescent="0.25">
      <c r="B19" s="2" t="s">
        <v>1</v>
      </c>
      <c r="C19" s="4">
        <f>C18/C8</f>
        <v>1.5795470144131778E-3</v>
      </c>
      <c r="D19" s="4">
        <f t="shared" ref="D19:H19" si="4">D18/D8</f>
        <v>1.7639102778707733E-3</v>
      </c>
      <c r="E19" s="4">
        <f t="shared" si="4"/>
        <v>1.2977889447236179E-3</v>
      </c>
      <c r="F19" s="4">
        <f t="shared" si="4"/>
        <v>1.4957757599684169E-3</v>
      </c>
      <c r="G19" s="4">
        <f t="shared" si="4"/>
        <v>9.5082487309644677E-4</v>
      </c>
      <c r="H19" s="4">
        <f t="shared" si="4"/>
        <v>1.2710652414301513E-3</v>
      </c>
      <c r="I19" s="7">
        <f>AVERAGE(C19:H19)</f>
        <v>1.393152018583764E-3</v>
      </c>
      <c r="K19" s="8"/>
    </row>
    <row r="20" spans="2:11" x14ac:dyDescent="0.25">
      <c r="I20" s="5"/>
      <c r="K20" s="8"/>
    </row>
    <row r="21" spans="2:11" x14ac:dyDescent="0.25">
      <c r="E21" s="12"/>
      <c r="F21" s="12"/>
      <c r="G21" s="5"/>
      <c r="H21" s="5"/>
      <c r="I21" s="5"/>
      <c r="K21" s="8"/>
    </row>
    <row r="22" spans="2:11" x14ac:dyDescent="0.25">
      <c r="B22" s="18" t="s">
        <v>48</v>
      </c>
      <c r="C22" s="29">
        <f>I7+I13-I16+I19</f>
        <v>7.7860638696896555E-3</v>
      </c>
    </row>
    <row r="23" spans="2:11" x14ac:dyDescent="0.25">
      <c r="B23" s="18" t="s">
        <v>49</v>
      </c>
      <c r="C23" s="49" t="s">
        <v>69</v>
      </c>
    </row>
    <row r="24" spans="2:11" x14ac:dyDescent="0.25">
      <c r="B24" s="18" t="s">
        <v>28</v>
      </c>
      <c r="C24" s="29"/>
    </row>
    <row r="25" spans="2:11" x14ac:dyDescent="0.25">
      <c r="B25" s="18"/>
      <c r="C25" s="18"/>
    </row>
    <row r="26" spans="2:11" x14ac:dyDescent="0.25">
      <c r="B26" s="1" t="s">
        <v>3</v>
      </c>
      <c r="C26" s="3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F34"/>
  <sheetViews>
    <sheetView zoomScaleNormal="100" workbookViewId="0">
      <selection activeCell="F5" sqref="F5"/>
    </sheetView>
  </sheetViews>
  <sheetFormatPr defaultRowHeight="15" x14ac:dyDescent="0.25"/>
  <cols>
    <col min="1" max="1" width="32.28515625" customWidth="1"/>
    <col min="2" max="3" width="17.7109375" customWidth="1"/>
    <col min="4" max="4" width="15" customWidth="1"/>
    <col min="5" max="5" width="13.28515625" customWidth="1"/>
    <col min="6" max="6" width="91.85546875" customWidth="1"/>
  </cols>
  <sheetData>
    <row r="2" spans="1:6" x14ac:dyDescent="0.25">
      <c r="A2" s="10" t="s">
        <v>23</v>
      </c>
      <c r="B2" s="9"/>
      <c r="C2" s="9"/>
      <c r="D2" s="9"/>
      <c r="F2" s="1" t="s">
        <v>5</v>
      </c>
    </row>
    <row r="3" spans="1:6" x14ac:dyDescent="0.25">
      <c r="A3" t="s">
        <v>22</v>
      </c>
      <c r="F3" s="2" t="s">
        <v>33</v>
      </c>
    </row>
    <row r="4" spans="1:6" x14ac:dyDescent="0.25">
      <c r="B4" s="1">
        <v>2018</v>
      </c>
      <c r="C4" s="1">
        <v>2019</v>
      </c>
      <c r="D4" s="1" t="s">
        <v>2</v>
      </c>
      <c r="F4" s="2" t="s">
        <v>72</v>
      </c>
    </row>
    <row r="5" spans="1:6" x14ac:dyDescent="0.25">
      <c r="A5" s="2" t="s">
        <v>12</v>
      </c>
      <c r="B5" s="11">
        <v>321064</v>
      </c>
      <c r="C5" s="11">
        <v>861947</v>
      </c>
      <c r="D5" s="1"/>
      <c r="F5" s="2" t="s">
        <v>45</v>
      </c>
    </row>
    <row r="6" spans="1:6" x14ac:dyDescent="0.25">
      <c r="A6" s="2" t="s">
        <v>11</v>
      </c>
      <c r="B6" s="11">
        <v>267</v>
      </c>
      <c r="C6" s="11">
        <v>1886</v>
      </c>
      <c r="F6" s="8"/>
    </row>
    <row r="7" spans="1:6" x14ac:dyDescent="0.25">
      <c r="A7" s="2" t="s">
        <v>13</v>
      </c>
      <c r="B7" s="17">
        <v>3.5000000000000001E-3</v>
      </c>
      <c r="C7" s="17">
        <v>3.5000000000000001E-3</v>
      </c>
      <c r="D7" s="7">
        <f>AVERAGE(B7:C7)</f>
        <v>3.5000000000000001E-3</v>
      </c>
      <c r="F7" s="3"/>
    </row>
    <row r="8" spans="1:6" x14ac:dyDescent="0.25">
      <c r="A8" s="2" t="s">
        <v>16</v>
      </c>
      <c r="B8" s="11">
        <f t="shared" ref="B8:C8" si="0">B6/B7</f>
        <v>76285.71428571429</v>
      </c>
      <c r="C8" s="11">
        <f t="shared" si="0"/>
        <v>538857.14285714284</v>
      </c>
      <c r="D8" s="1"/>
      <c r="F8" s="8"/>
    </row>
    <row r="9" spans="1:6" x14ac:dyDescent="0.25">
      <c r="B9" s="1"/>
      <c r="C9" s="1"/>
      <c r="D9" s="1"/>
      <c r="F9" s="2"/>
    </row>
    <row r="10" spans="1:6" x14ac:dyDescent="0.25">
      <c r="A10" s="2" t="s">
        <v>7</v>
      </c>
      <c r="B10" s="11">
        <v>2314</v>
      </c>
      <c r="C10" s="11">
        <v>12293</v>
      </c>
      <c r="F10" s="8"/>
    </row>
    <row r="11" spans="1:6" x14ac:dyDescent="0.25">
      <c r="A11" s="2" t="s">
        <v>9</v>
      </c>
      <c r="B11" s="11">
        <v>303</v>
      </c>
      <c r="C11" s="11">
        <v>1482</v>
      </c>
    </row>
    <row r="12" spans="1:6" x14ac:dyDescent="0.25">
      <c r="A12" s="2" t="s">
        <v>10</v>
      </c>
      <c r="B12" s="14">
        <f t="shared" ref="B12:C12" si="1">B11/B10</f>
        <v>0.13094209161624892</v>
      </c>
      <c r="C12" s="14">
        <f t="shared" si="1"/>
        <v>0.12055641421947449</v>
      </c>
      <c r="D12" s="28"/>
    </row>
    <row r="13" spans="1:6" x14ac:dyDescent="0.25">
      <c r="A13" s="2" t="s">
        <v>41</v>
      </c>
      <c r="B13" s="4">
        <f>B11/B8</f>
        <v>3.97191011235955E-3</v>
      </c>
      <c r="C13" s="4">
        <f>C11/C8</f>
        <v>2.7502651113467656E-3</v>
      </c>
      <c r="D13" s="7">
        <f>AVERAGE(B13:C13)</f>
        <v>3.361087611853158E-3</v>
      </c>
    </row>
    <row r="14" spans="1:6" x14ac:dyDescent="0.25">
      <c r="A14" s="2"/>
      <c r="B14" s="11"/>
      <c r="C14" s="11"/>
    </row>
    <row r="15" spans="1:6" x14ac:dyDescent="0.25">
      <c r="A15" s="2" t="s">
        <v>8</v>
      </c>
      <c r="B15" s="11">
        <v>3</v>
      </c>
      <c r="C15" s="11">
        <v>250</v>
      </c>
    </row>
    <row r="16" spans="1:6" x14ac:dyDescent="0.25">
      <c r="A16" s="2" t="s">
        <v>21</v>
      </c>
      <c r="B16" s="17">
        <f>B15/B8</f>
        <v>3.9325842696629214E-5</v>
      </c>
      <c r="C16" s="17">
        <f>C15/C8</f>
        <v>4.6394485683987275E-4</v>
      </c>
      <c r="D16" s="7">
        <f>AVERAGE(B16:C16)</f>
        <v>2.5163534976825098E-4</v>
      </c>
    </row>
    <row r="17" spans="1:6" x14ac:dyDescent="0.25">
      <c r="A17" s="2"/>
      <c r="B17" s="11"/>
      <c r="C17" s="11"/>
    </row>
    <row r="18" spans="1:6" x14ac:dyDescent="0.25">
      <c r="A18" s="2" t="s">
        <v>0</v>
      </c>
      <c r="B18" s="11">
        <v>187</v>
      </c>
      <c r="C18" s="11">
        <v>271</v>
      </c>
    </row>
    <row r="19" spans="1:6" x14ac:dyDescent="0.25">
      <c r="A19" s="2" t="s">
        <v>1</v>
      </c>
      <c r="B19" s="4">
        <f>B18/B8</f>
        <v>2.4513108614232209E-3</v>
      </c>
      <c r="C19" s="4">
        <f>C18/C8</f>
        <v>5.0291622481442202E-4</v>
      </c>
      <c r="D19" s="6">
        <f>AVERAGE(B19:C19)</f>
        <v>1.4771135431188216E-3</v>
      </c>
      <c r="F19" s="8"/>
    </row>
    <row r="20" spans="1:6" x14ac:dyDescent="0.25">
      <c r="D20" s="5"/>
      <c r="F20" s="8"/>
    </row>
    <row r="21" spans="1:6" x14ac:dyDescent="0.25">
      <c r="C21" s="5"/>
      <c r="D21" s="5"/>
      <c r="F21" s="8"/>
    </row>
    <row r="22" spans="1:6" x14ac:dyDescent="0.25">
      <c r="C22" s="5"/>
      <c r="D22" s="5"/>
      <c r="F22" s="8"/>
    </row>
    <row r="23" spans="1:6" x14ac:dyDescent="0.25">
      <c r="A23" s="18" t="s">
        <v>47</v>
      </c>
      <c r="C23" s="5"/>
      <c r="D23" s="5"/>
      <c r="F23" s="8"/>
    </row>
    <row r="24" spans="1:6" x14ac:dyDescent="0.25">
      <c r="A24" s="18" t="s">
        <v>27</v>
      </c>
      <c r="F24" s="8"/>
    </row>
    <row r="25" spans="1:6" x14ac:dyDescent="0.25">
      <c r="A25" s="18" t="s">
        <v>28</v>
      </c>
      <c r="E25" s="6"/>
      <c r="F25" s="8"/>
    </row>
    <row r="26" spans="1:6" x14ac:dyDescent="0.25">
      <c r="E26" s="6"/>
      <c r="F26" s="8"/>
    </row>
    <row r="27" spans="1:6" x14ac:dyDescent="0.25">
      <c r="A27" s="1" t="s">
        <v>3</v>
      </c>
      <c r="B27" s="15"/>
      <c r="E27" s="6"/>
    </row>
    <row r="28" spans="1:6" x14ac:dyDescent="0.25">
      <c r="A28" s="1"/>
      <c r="B28" s="5"/>
      <c r="C28" s="5"/>
      <c r="D28" s="5"/>
      <c r="E28" s="6"/>
    </row>
    <row r="29" spans="1:6" x14ac:dyDescent="0.25">
      <c r="A29" s="1"/>
      <c r="B29" s="5"/>
      <c r="C29" s="5"/>
      <c r="D29" s="5"/>
      <c r="E29" s="6"/>
    </row>
    <row r="30" spans="1:6" x14ac:dyDescent="0.25">
      <c r="A30" s="1"/>
      <c r="B30" s="5"/>
      <c r="C30" s="5"/>
      <c r="D30" s="5"/>
      <c r="E30" s="6"/>
    </row>
    <row r="31" spans="1:6" x14ac:dyDescent="0.25">
      <c r="A31" s="1"/>
      <c r="B31" s="5"/>
      <c r="C31" s="5"/>
      <c r="D31" s="5"/>
      <c r="E31" s="6"/>
    </row>
    <row r="32" spans="1:6" x14ac:dyDescent="0.25">
      <c r="A32" s="1"/>
      <c r="B32" s="5"/>
      <c r="C32" s="5"/>
      <c r="D32" s="5"/>
      <c r="E32" s="6"/>
    </row>
    <row r="33" spans="1:5" x14ac:dyDescent="0.25">
      <c r="A33" s="1"/>
      <c r="B33" s="5"/>
      <c r="C33" s="5"/>
      <c r="D33" s="5"/>
      <c r="E33" s="6"/>
    </row>
    <row r="34" spans="1:5" x14ac:dyDescent="0.25">
      <c r="A34" s="1"/>
      <c r="B34" s="5"/>
      <c r="C34" s="5"/>
      <c r="D34" s="5"/>
      <c r="E34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M19"/>
  <sheetViews>
    <sheetView workbookViewId="0">
      <selection activeCell="K21" sqref="K21"/>
    </sheetView>
  </sheetViews>
  <sheetFormatPr defaultRowHeight="15" x14ac:dyDescent="0.25"/>
  <cols>
    <col min="2" max="2" width="41.140625" bestFit="1" customWidth="1"/>
    <col min="13" max="13" width="11.85546875" customWidth="1"/>
  </cols>
  <sheetData>
    <row r="1" spans="2:13" x14ac:dyDescent="0.25">
      <c r="C1" s="48">
        <v>2013</v>
      </c>
      <c r="D1" s="48">
        <v>2014</v>
      </c>
      <c r="E1" s="48">
        <v>2015</v>
      </c>
      <c r="F1" s="48">
        <v>2016</v>
      </c>
      <c r="G1" s="48">
        <v>2017</v>
      </c>
      <c r="H1" s="48">
        <v>2018</v>
      </c>
      <c r="I1" s="48">
        <v>2019</v>
      </c>
      <c r="J1" s="39"/>
      <c r="K1" s="37" t="s">
        <v>63</v>
      </c>
      <c r="L1" s="37" t="s">
        <v>64</v>
      </c>
    </row>
    <row r="2" spans="2:13" x14ac:dyDescent="0.25">
      <c r="B2" s="37" t="s">
        <v>52</v>
      </c>
      <c r="C2" s="38"/>
      <c r="D2" s="38">
        <v>5.05</v>
      </c>
      <c r="E2" s="38">
        <v>-0.77</v>
      </c>
      <c r="F2" s="38">
        <v>7.73</v>
      </c>
      <c r="G2" s="38">
        <v>22.45</v>
      </c>
      <c r="H2" s="38">
        <v>-8.65</v>
      </c>
      <c r="I2" s="38">
        <v>27.76</v>
      </c>
      <c r="J2" s="39"/>
      <c r="K2" s="39"/>
      <c r="L2" s="39"/>
    </row>
    <row r="3" spans="2:13" x14ac:dyDescent="0.25">
      <c r="B3" s="37" t="s">
        <v>53</v>
      </c>
      <c r="C3" s="38"/>
      <c r="D3" s="38">
        <v>5.5</v>
      </c>
      <c r="E3" s="38">
        <v>-0.32</v>
      </c>
      <c r="F3" s="38">
        <v>8.15</v>
      </c>
      <c r="G3" s="38">
        <v>23.07</v>
      </c>
      <c r="H3" s="38">
        <v>-8.1999999999999993</v>
      </c>
      <c r="I3" s="38">
        <v>28.4</v>
      </c>
      <c r="J3" s="39"/>
      <c r="K3" s="40"/>
      <c r="L3" s="40"/>
    </row>
    <row r="4" spans="2:13" x14ac:dyDescent="0.25">
      <c r="B4" s="37" t="s">
        <v>54</v>
      </c>
      <c r="C4" s="38"/>
      <c r="D4" s="41">
        <v>4.9400000000000004</v>
      </c>
      <c r="E4" s="41">
        <v>-0.87</v>
      </c>
      <c r="F4" s="41">
        <v>7.51</v>
      </c>
      <c r="G4" s="41">
        <v>22.4</v>
      </c>
      <c r="H4" s="41">
        <v>-8.7100000000000009</v>
      </c>
      <c r="I4" s="41">
        <v>27.67</v>
      </c>
      <c r="J4" s="39"/>
      <c r="K4" s="40"/>
      <c r="L4" s="40"/>
    </row>
    <row r="5" spans="2:13" x14ac:dyDescent="0.25">
      <c r="B5" s="37" t="s">
        <v>55</v>
      </c>
      <c r="C5" s="38"/>
      <c r="D5" s="38">
        <f t="shared" ref="D5:I5" si="0">D3-D2</f>
        <v>0.45000000000000018</v>
      </c>
      <c r="E5" s="38">
        <f t="shared" si="0"/>
        <v>0.45</v>
      </c>
      <c r="F5" s="38">
        <f t="shared" si="0"/>
        <v>0.41999999999999993</v>
      </c>
      <c r="G5" s="38">
        <f t="shared" si="0"/>
        <v>0.62000000000000099</v>
      </c>
      <c r="H5" s="38">
        <f t="shared" si="0"/>
        <v>0.45000000000000107</v>
      </c>
      <c r="I5" s="38">
        <f t="shared" si="0"/>
        <v>0.63999999999999702</v>
      </c>
      <c r="J5" s="39"/>
      <c r="K5" s="40">
        <f>AVERAGE(D5:I5)</f>
        <v>0.50499999999999989</v>
      </c>
      <c r="L5" s="40"/>
    </row>
    <row r="6" spans="2:13" x14ac:dyDescent="0.25">
      <c r="B6" s="37" t="s">
        <v>56</v>
      </c>
      <c r="C6" s="38"/>
      <c r="D6" s="38">
        <f>D2-D4</f>
        <v>0.10999999999999943</v>
      </c>
      <c r="E6" s="38">
        <f t="shared" ref="E6:I6" si="1">E2-E4</f>
        <v>9.9999999999999978E-2</v>
      </c>
      <c r="F6" s="38">
        <f t="shared" si="1"/>
        <v>0.22000000000000064</v>
      </c>
      <c r="G6" s="38">
        <f t="shared" si="1"/>
        <v>5.0000000000000711E-2</v>
      </c>
      <c r="H6" s="38">
        <f t="shared" si="1"/>
        <v>6.0000000000000497E-2</v>
      </c>
      <c r="I6" s="38">
        <f t="shared" si="1"/>
        <v>8.9999999999999858E-2</v>
      </c>
      <c r="J6" s="39"/>
      <c r="K6" s="40"/>
      <c r="L6" s="40">
        <f>AVERAGE(D6:I6)</f>
        <v>0.10500000000000019</v>
      </c>
    </row>
    <row r="9" spans="2:13" x14ac:dyDescent="0.25">
      <c r="B9" s="42" t="s">
        <v>57</v>
      </c>
      <c r="C9" s="43"/>
      <c r="E9" s="43">
        <v>-14.38</v>
      </c>
      <c r="F9" s="43">
        <v>9.61</v>
      </c>
      <c r="G9" s="43">
        <v>36.979999999999997</v>
      </c>
      <c r="H9" s="43">
        <v>-14.83</v>
      </c>
      <c r="I9" s="43">
        <v>17.45</v>
      </c>
      <c r="J9" s="44"/>
      <c r="K9" s="44"/>
    </row>
    <row r="10" spans="2:13" x14ac:dyDescent="0.25">
      <c r="B10" s="42" t="s">
        <v>58</v>
      </c>
      <c r="C10" s="43"/>
      <c r="E10" s="43">
        <v>-13.55</v>
      </c>
      <c r="F10" s="43">
        <v>10.3</v>
      </c>
      <c r="G10" s="43">
        <v>37.28</v>
      </c>
      <c r="H10" s="43">
        <v>-14.71</v>
      </c>
      <c r="I10" s="45">
        <v>18.100000000000001</v>
      </c>
      <c r="J10" s="44"/>
      <c r="K10" s="44"/>
    </row>
    <row r="11" spans="2:13" x14ac:dyDescent="0.25">
      <c r="B11" s="42" t="s">
        <v>59</v>
      </c>
      <c r="C11" s="43"/>
      <c r="E11">
        <v>-13.86</v>
      </c>
      <c r="F11">
        <v>9.9</v>
      </c>
      <c r="G11">
        <v>36.83</v>
      </c>
      <c r="H11">
        <v>-15.04</v>
      </c>
      <c r="I11">
        <v>17.64</v>
      </c>
      <c r="J11" s="44"/>
      <c r="K11" s="44"/>
    </row>
    <row r="12" spans="2:13" x14ac:dyDescent="0.25">
      <c r="B12" s="42" t="s">
        <v>55</v>
      </c>
      <c r="C12" s="43"/>
      <c r="E12" s="43">
        <f>E10-E9</f>
        <v>0.83000000000000007</v>
      </c>
      <c r="F12" s="43">
        <f>F10-F9</f>
        <v>0.69000000000000128</v>
      </c>
      <c r="G12" s="43">
        <f>G10-G9</f>
        <v>0.30000000000000426</v>
      </c>
      <c r="H12" s="43">
        <f>H10-H9</f>
        <v>0.11999999999999922</v>
      </c>
      <c r="I12" s="43">
        <f>I10-I9</f>
        <v>0.65000000000000213</v>
      </c>
      <c r="K12" s="46">
        <f>AVERAGE(E12:I12)</f>
        <v>0.51800000000000135</v>
      </c>
      <c r="L12" s="44"/>
    </row>
    <row r="13" spans="2:13" x14ac:dyDescent="0.25">
      <c r="B13" s="42" t="s">
        <v>56</v>
      </c>
      <c r="C13" s="43"/>
      <c r="E13" s="43">
        <f>E9-E11</f>
        <v>-0.52000000000000135</v>
      </c>
      <c r="F13" s="43">
        <f t="shared" ref="F13:I13" si="2">F9-F11</f>
        <v>-0.29000000000000092</v>
      </c>
      <c r="G13" s="43">
        <f t="shared" si="2"/>
        <v>0.14999999999999858</v>
      </c>
      <c r="H13" s="43">
        <f t="shared" si="2"/>
        <v>0.20999999999999908</v>
      </c>
      <c r="I13" s="43">
        <f t="shared" si="2"/>
        <v>-0.19000000000000128</v>
      </c>
      <c r="K13" s="46"/>
      <c r="L13" s="46">
        <f>AVERAGE(E13:I13)</f>
        <v>-0.12800000000000117</v>
      </c>
    </row>
    <row r="16" spans="2:13" x14ac:dyDescent="0.25">
      <c r="B16" s="47" t="s">
        <v>62</v>
      </c>
      <c r="C16" s="44"/>
      <c r="D16" s="44"/>
      <c r="E16" s="44"/>
      <c r="F16" s="44"/>
      <c r="G16" s="44"/>
      <c r="H16" s="44"/>
      <c r="I16" s="44">
        <v>25.73</v>
      </c>
      <c r="J16" s="44"/>
      <c r="K16" s="44"/>
      <c r="L16" s="44"/>
      <c r="M16" s="44"/>
    </row>
    <row r="17" spans="2:13" x14ac:dyDescent="0.25">
      <c r="B17" s="42" t="s">
        <v>60</v>
      </c>
      <c r="C17" s="44"/>
      <c r="D17" s="44"/>
      <c r="E17" s="44"/>
      <c r="F17" s="44"/>
      <c r="G17" s="44"/>
      <c r="H17" s="44"/>
      <c r="I17" s="44">
        <v>26.19</v>
      </c>
      <c r="J17" s="44"/>
      <c r="K17" s="44"/>
      <c r="L17" s="44"/>
      <c r="M17" s="44"/>
    </row>
    <row r="18" spans="2:13" x14ac:dyDescent="0.25">
      <c r="B18" s="42" t="s">
        <v>61</v>
      </c>
      <c r="C18" s="44"/>
      <c r="D18" s="44"/>
      <c r="E18" s="44"/>
      <c r="F18" s="44"/>
      <c r="G18" s="44"/>
      <c r="H18" s="44"/>
      <c r="I18" s="44">
        <v>26.78</v>
      </c>
      <c r="J18" s="44"/>
      <c r="K18" s="44"/>
      <c r="L18" s="44"/>
      <c r="M18" s="44"/>
    </row>
    <row r="19" spans="2:13" x14ac:dyDescent="0.25">
      <c r="B19" s="42" t="s">
        <v>55</v>
      </c>
      <c r="C19" s="44"/>
      <c r="D19" s="44"/>
      <c r="E19" s="44"/>
      <c r="F19" s="44"/>
      <c r="G19" s="44"/>
      <c r="H19" s="44"/>
      <c r="I19" s="44">
        <f>I18-I16</f>
        <v>1.0500000000000007</v>
      </c>
      <c r="J19" s="44"/>
      <c r="K19" s="44">
        <f>AVERAGE(I19)</f>
        <v>1.0500000000000007</v>
      </c>
      <c r="L19" s="44"/>
      <c r="M19" s="44" t="s">
        <v>65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Aanames</vt:lpstr>
      <vt:lpstr>IWDA</vt:lpstr>
      <vt:lpstr>EMIM</vt:lpstr>
      <vt:lpstr>Emerging</vt:lpstr>
      <vt:lpstr>IEMS</vt:lpstr>
      <vt:lpstr>IUSN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2020-08-13T15:31:04Z</dcterms:modified>
</cp:coreProperties>
</file>