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erben\Google Drive\Financieel\IndexFondsen\KeuzeWelkIndexFonds\OnderzoekPerFonds\"/>
    </mc:Choice>
  </mc:AlternateContent>
  <xr:revisionPtr revIDLastSave="0" documentId="13_ncr:1_{52C55682-3805-400A-AF30-87C1088992BE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1" l="1"/>
  <c r="D66" i="1"/>
  <c r="D65" i="1"/>
  <c r="D67" i="1"/>
  <c r="D68" i="1" s="1"/>
  <c r="D61" i="1"/>
  <c r="D62" i="1" s="1"/>
  <c r="D58" i="1"/>
  <c r="D60" i="1"/>
  <c r="D59" i="1"/>
  <c r="D53" i="1"/>
  <c r="D54" i="1" s="1"/>
  <c r="D55" i="1" s="1"/>
  <c r="D52" i="1"/>
  <c r="D22" i="1"/>
  <c r="D23" i="1" s="1"/>
  <c r="D21" i="1"/>
  <c r="D20" i="1"/>
  <c r="D44" i="1"/>
  <c r="D47" i="1" s="1"/>
  <c r="D48" i="1" s="1"/>
  <c r="D15" i="1"/>
  <c r="D16" i="1" s="1"/>
  <c r="D17" i="1" s="1"/>
  <c r="D39" i="1"/>
  <c r="D38" i="1"/>
  <c r="D32" i="1"/>
  <c r="D34" i="1" s="1"/>
  <c r="D35" i="1" s="1"/>
  <c r="D33" i="1"/>
  <c r="D27" i="1"/>
  <c r="D26" i="1"/>
  <c r="D28" i="1" s="1"/>
  <c r="D29" i="1" s="1"/>
  <c r="D14" i="1"/>
  <c r="D13" i="1"/>
  <c r="C46" i="1"/>
  <c r="D46" i="1" s="1"/>
  <c r="C45" i="1"/>
  <c r="D45" i="1" s="1"/>
  <c r="I15" i="1"/>
  <c r="D6" i="1"/>
  <c r="D7" i="1"/>
  <c r="D8" i="1"/>
  <c r="D5" i="1"/>
  <c r="D40" i="1" l="1"/>
  <c r="D41" i="1" s="1"/>
  <c r="D9" i="1"/>
</calcChain>
</file>

<file path=xl/sharedStrings.xml><?xml version="1.0" encoding="utf-8"?>
<sst xmlns="http://schemas.openxmlformats.org/spreadsheetml/2006/main" count="71" uniqueCount="29">
  <si>
    <t>MSCI ACWI IMI</t>
  </si>
  <si>
    <t>MSCI WORLD</t>
  </si>
  <si>
    <t>MSCI WORLD SMALL CAP</t>
  </si>
  <si>
    <t>MSCI EM</t>
  </si>
  <si>
    <t>MSCI EM SMALL CAP</t>
  </si>
  <si>
    <t>NT World</t>
  </si>
  <si>
    <t>NT EM</t>
  </si>
  <si>
    <t>NT Small caps</t>
  </si>
  <si>
    <t>Fonds</t>
  </si>
  <si>
    <t>Uitluitingen</t>
  </si>
  <si>
    <t>Index</t>
  </si>
  <si>
    <t>Cap</t>
  </si>
  <si>
    <t>NN Wereld</t>
  </si>
  <si>
    <t>NN EM</t>
  </si>
  <si>
    <t>Actiam Wereld</t>
  </si>
  <si>
    <t>Actiam Opkomend</t>
  </si>
  <si>
    <t>BND Wereld</t>
  </si>
  <si>
    <t>BND EM</t>
  </si>
  <si>
    <t>BND SC</t>
  </si>
  <si>
    <t>FTSE All-World</t>
  </si>
  <si>
    <t>FTSE  Global All-Cap</t>
  </si>
  <si>
    <t>VWRL</t>
  </si>
  <si>
    <t>Totaal cap</t>
  </si>
  <si>
    <t>%</t>
  </si>
  <si>
    <t>Dit is eigenlijk een FTSE index, maar goed….</t>
  </si>
  <si>
    <t>iShares EMIM</t>
  </si>
  <si>
    <t>iShares IUSN</t>
  </si>
  <si>
    <t>iShares IWDA</t>
  </si>
  <si>
    <t>iShares IEMM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</si>
</sst>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0" fontId="0" fillId="0" borderId="0" xfId="0" applyNumberFormat="1"/>
    <xf numFmtId="0" fontId="2" fillId="0" borderId="0" xfId="0" applyFont="1"/>
    <xf numFmtId="10" fontId="2" fillId="0" borderId="0" xfId="1" applyNumberFormat="1" applyFont="1"/>
    <xf numFmtId="0" fontId="0" fillId="0" borderId="1" xfId="0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8"/>
  <sheetViews>
    <sheetView tabSelected="1" topLeftCell="A19" workbookViewId="0">
      <selection activeCell="E69" sqref="E69"/>
    </sheetView>
  </sheetViews>
  <sheetFormatPr defaultRowHeight="15" x14ac:dyDescent="0.25"/>
  <cols>
    <col min="2" max="2" width="23.85546875" customWidth="1"/>
    <col min="3" max="3" width="22" customWidth="1"/>
    <col min="4" max="4" width="17.5703125" customWidth="1"/>
    <col min="8" max="8" width="20.5703125" customWidth="1"/>
  </cols>
  <sheetData>
    <row r="2" spans="2:9" x14ac:dyDescent="0.25">
      <c r="B2" s="3" t="s">
        <v>10</v>
      </c>
      <c r="C2" s="3" t="s">
        <v>11</v>
      </c>
    </row>
    <row r="3" spans="2:9" x14ac:dyDescent="0.25">
      <c r="B3" t="s">
        <v>0</v>
      </c>
      <c r="C3">
        <v>57912625.68</v>
      </c>
    </row>
    <row r="5" spans="2:9" x14ac:dyDescent="0.25">
      <c r="B5" t="s">
        <v>1</v>
      </c>
      <c r="C5">
        <v>44996280.710000001</v>
      </c>
      <c r="D5" s="1">
        <f>C5/$C$3</f>
        <v>0.77696841028465702</v>
      </c>
    </row>
    <row r="6" spans="2:9" x14ac:dyDescent="0.25">
      <c r="B6" t="s">
        <v>2</v>
      </c>
      <c r="C6">
        <v>5847968.3700000001</v>
      </c>
      <c r="D6" s="1">
        <f t="shared" ref="D6:D8" si="0">C6/$C$3</f>
        <v>0.10097916130263773</v>
      </c>
    </row>
    <row r="7" spans="2:9" x14ac:dyDescent="0.25">
      <c r="B7" t="s">
        <v>3</v>
      </c>
      <c r="C7">
        <v>6370599.96</v>
      </c>
      <c r="D7" s="1">
        <f t="shared" si="0"/>
        <v>0.11000364575422926</v>
      </c>
    </row>
    <row r="8" spans="2:9" x14ac:dyDescent="0.25">
      <c r="B8" t="s">
        <v>4</v>
      </c>
      <c r="C8">
        <v>697776.64000000001</v>
      </c>
      <c r="D8" s="1">
        <f t="shared" si="0"/>
        <v>1.2048782658476071E-2</v>
      </c>
    </row>
    <row r="9" spans="2:9" x14ac:dyDescent="0.25">
      <c r="D9" s="1">
        <f>SUM(D5:D8)</f>
        <v>1</v>
      </c>
    </row>
    <row r="10" spans="2:9" x14ac:dyDescent="0.25">
      <c r="D10" s="1"/>
    </row>
    <row r="12" spans="2:9" x14ac:dyDescent="0.25">
      <c r="B12" s="3" t="s">
        <v>8</v>
      </c>
      <c r="C12" s="3" t="s">
        <v>9</v>
      </c>
      <c r="D12" s="3" t="s">
        <v>11</v>
      </c>
      <c r="H12" s="3" t="s">
        <v>8</v>
      </c>
    </row>
    <row r="13" spans="2:9" x14ac:dyDescent="0.25">
      <c r="B13" t="s">
        <v>5</v>
      </c>
      <c r="C13" s="2">
        <v>5.8000000000000003E-2</v>
      </c>
      <c r="D13">
        <f>(100%-C13)*C5</f>
        <v>42386496.428819999</v>
      </c>
      <c r="H13" t="s">
        <v>19</v>
      </c>
      <c r="I13">
        <v>51612791</v>
      </c>
    </row>
    <row r="14" spans="2:9" x14ac:dyDescent="0.25">
      <c r="B14" t="s">
        <v>6</v>
      </c>
      <c r="C14" s="2">
        <v>7.4999999999999997E-2</v>
      </c>
      <c r="D14">
        <f>(100%-C14)*C7</f>
        <v>5892804.9630000005</v>
      </c>
      <c r="H14" t="s">
        <v>20</v>
      </c>
      <c r="I14">
        <v>57471828</v>
      </c>
    </row>
    <row r="15" spans="2:9" ht="15.75" thickBot="1" x14ac:dyDescent="0.3">
      <c r="B15" t="s">
        <v>7</v>
      </c>
      <c r="C15" s="2">
        <v>0.17699999999999999</v>
      </c>
      <c r="D15">
        <f>(100%-C15)*C6</f>
        <v>4812877.96851</v>
      </c>
      <c r="H15" s="3" t="s">
        <v>21</v>
      </c>
      <c r="I15" s="4">
        <f>I13/I14</f>
        <v>0.89805375600720405</v>
      </c>
    </row>
    <row r="16" spans="2:9" ht="15.75" thickTop="1" x14ac:dyDescent="0.25">
      <c r="B16" t="s">
        <v>22</v>
      </c>
      <c r="D16" s="5">
        <f>SUM(D13:D15)</f>
        <v>53092179.360330001</v>
      </c>
    </row>
    <row r="17" spans="2:4" x14ac:dyDescent="0.25">
      <c r="B17" t="s">
        <v>23</v>
      </c>
      <c r="D17" s="4">
        <f>D16/C3</f>
        <v>0.91676346456287972</v>
      </c>
    </row>
    <row r="19" spans="2:4" x14ac:dyDescent="0.25">
      <c r="B19" s="3" t="s">
        <v>8</v>
      </c>
      <c r="C19" s="3" t="s">
        <v>9</v>
      </c>
    </row>
    <row r="20" spans="2:4" x14ac:dyDescent="0.25">
      <c r="B20" t="s">
        <v>5</v>
      </c>
      <c r="C20" s="2">
        <v>5.8000000000000003E-2</v>
      </c>
      <c r="D20">
        <f>(100%-C20)*C5</f>
        <v>42386496.428819999</v>
      </c>
    </row>
    <row r="21" spans="2:4" ht="15.75" thickBot="1" x14ac:dyDescent="0.3">
      <c r="B21" t="s">
        <v>6</v>
      </c>
      <c r="C21" s="2">
        <v>7.4999999999999997E-2</v>
      </c>
      <c r="D21">
        <f>(100%-C21)*C7</f>
        <v>5892804.9630000005</v>
      </c>
    </row>
    <row r="22" spans="2:4" ht="15.75" thickTop="1" x14ac:dyDescent="0.25">
      <c r="B22" t="s">
        <v>22</v>
      </c>
      <c r="C22" s="2"/>
      <c r="D22" s="5">
        <f>SUM(D20:D21)</f>
        <v>48279301.391819999</v>
      </c>
    </row>
    <row r="23" spans="2:4" x14ac:dyDescent="0.25">
      <c r="B23" t="s">
        <v>23</v>
      </c>
      <c r="C23" s="2"/>
      <c r="D23" s="4">
        <f>D22/C3</f>
        <v>0.83365761481080891</v>
      </c>
    </row>
    <row r="25" spans="2:4" x14ac:dyDescent="0.25">
      <c r="B25" s="3" t="s">
        <v>8</v>
      </c>
      <c r="C25" s="3" t="s">
        <v>9</v>
      </c>
    </row>
    <row r="26" spans="2:4" x14ac:dyDescent="0.25">
      <c r="B26" t="s">
        <v>12</v>
      </c>
      <c r="C26" s="2">
        <v>0.35</v>
      </c>
      <c r="D26">
        <f>(100%-C26)*C5</f>
        <v>29247582.4615</v>
      </c>
    </row>
    <row r="27" spans="2:4" ht="15.75" thickBot="1" x14ac:dyDescent="0.3">
      <c r="B27" t="s">
        <v>13</v>
      </c>
      <c r="C27" s="2">
        <v>0.35</v>
      </c>
      <c r="D27">
        <f>(100%-C27)*C7</f>
        <v>4140889.9739999999</v>
      </c>
    </row>
    <row r="28" spans="2:4" ht="15.75" thickTop="1" x14ac:dyDescent="0.25">
      <c r="B28" t="s">
        <v>22</v>
      </c>
      <c r="D28" s="5">
        <f>SUM(D26:D27)</f>
        <v>33388472.4355</v>
      </c>
    </row>
    <row r="29" spans="2:4" x14ac:dyDescent="0.25">
      <c r="B29" t="s">
        <v>23</v>
      </c>
      <c r="D29" s="4">
        <f>D28/C3</f>
        <v>0.57653183642527606</v>
      </c>
    </row>
    <row r="31" spans="2:4" x14ac:dyDescent="0.25">
      <c r="B31" s="3" t="s">
        <v>8</v>
      </c>
      <c r="C31" s="3" t="s">
        <v>9</v>
      </c>
    </row>
    <row r="32" spans="2:4" x14ac:dyDescent="0.25">
      <c r="B32" t="s">
        <v>14</v>
      </c>
      <c r="C32" s="2">
        <v>0.193</v>
      </c>
      <c r="D32">
        <f>(100%-C32)*C5</f>
        <v>36311998.532969996</v>
      </c>
    </row>
    <row r="33" spans="2:5" ht="15.75" thickBot="1" x14ac:dyDescent="0.3">
      <c r="B33" t="s">
        <v>15</v>
      </c>
      <c r="C33" s="2">
        <v>0.25700000000000001</v>
      </c>
      <c r="D33">
        <f>(100%-C33)*C7</f>
        <v>4733355.7702799998</v>
      </c>
    </row>
    <row r="34" spans="2:5" ht="15.75" thickTop="1" x14ac:dyDescent="0.25">
      <c r="B34" t="s">
        <v>22</v>
      </c>
      <c r="D34" s="5">
        <f>SUM(D32:D33)</f>
        <v>41045354.30325</v>
      </c>
    </row>
    <row r="35" spans="2:5" x14ac:dyDescent="0.25">
      <c r="B35" t="s">
        <v>23</v>
      </c>
      <c r="D35" s="4">
        <f>D34/C3</f>
        <v>0.70874621589511044</v>
      </c>
    </row>
    <row r="37" spans="2:5" x14ac:dyDescent="0.25">
      <c r="B37" s="3" t="s">
        <v>8</v>
      </c>
      <c r="C37" s="3" t="s">
        <v>9</v>
      </c>
    </row>
    <row r="38" spans="2:5" x14ac:dyDescent="0.25">
      <c r="B38" t="s">
        <v>16</v>
      </c>
      <c r="C38" s="2">
        <v>0</v>
      </c>
      <c r="D38">
        <f>(100%-C38)*C5</f>
        <v>44996280.710000001</v>
      </c>
      <c r="E38" s="6" t="s">
        <v>24</v>
      </c>
    </row>
    <row r="39" spans="2:5" ht="15.75" thickBot="1" x14ac:dyDescent="0.3">
      <c r="B39" t="s">
        <v>17</v>
      </c>
      <c r="C39" s="2">
        <f>C14</f>
        <v>7.4999999999999997E-2</v>
      </c>
      <c r="D39">
        <f>(100%-C39)*C7</f>
        <v>5892804.9630000005</v>
      </c>
    </row>
    <row r="40" spans="2:5" ht="15.75" thickTop="1" x14ac:dyDescent="0.25">
      <c r="B40" t="s">
        <v>22</v>
      </c>
      <c r="D40" s="5">
        <f>SUM(D38:D39)</f>
        <v>50889085.673</v>
      </c>
    </row>
    <row r="41" spans="2:5" x14ac:dyDescent="0.25">
      <c r="B41" t="s">
        <v>23</v>
      </c>
      <c r="D41" s="4">
        <f>D40/C3</f>
        <v>0.87872178260731904</v>
      </c>
    </row>
    <row r="43" spans="2:5" x14ac:dyDescent="0.25">
      <c r="B43" s="3" t="s">
        <v>8</v>
      </c>
      <c r="C43" s="3" t="s">
        <v>9</v>
      </c>
    </row>
    <row r="44" spans="2:5" x14ac:dyDescent="0.25">
      <c r="B44" t="s">
        <v>16</v>
      </c>
      <c r="C44" s="2">
        <v>0</v>
      </c>
      <c r="D44">
        <f>(100%-C44)*C5</f>
        <v>44996280.710000001</v>
      </c>
      <c r="E44" s="6" t="s">
        <v>24</v>
      </c>
    </row>
    <row r="45" spans="2:5" x14ac:dyDescent="0.25">
      <c r="B45" t="s">
        <v>17</v>
      </c>
      <c r="C45" s="2">
        <f>C14</f>
        <v>7.4999999999999997E-2</v>
      </c>
      <c r="D45">
        <f>(100%-C45)*C7</f>
        <v>5892804.9630000005</v>
      </c>
    </row>
    <row r="46" spans="2:5" ht="15.75" thickBot="1" x14ac:dyDescent="0.3">
      <c r="B46" t="s">
        <v>18</v>
      </c>
      <c r="C46" s="2">
        <f>C15</f>
        <v>0.17699999999999999</v>
      </c>
      <c r="D46">
        <f>(100%-C46)*C6</f>
        <v>4812877.96851</v>
      </c>
    </row>
    <row r="47" spans="2:5" ht="15.75" thickTop="1" x14ac:dyDescent="0.25">
      <c r="B47" t="s">
        <v>22</v>
      </c>
      <c r="C47" s="2"/>
      <c r="D47" s="5">
        <f>SUM(D44:D46)</f>
        <v>55701963.641510002</v>
      </c>
    </row>
    <row r="48" spans="2:5" x14ac:dyDescent="0.25">
      <c r="B48" t="s">
        <v>23</v>
      </c>
      <c r="D48" s="4">
        <f>D47/C3</f>
        <v>0.96182763235938995</v>
      </c>
    </row>
    <row r="51" spans="2:4" x14ac:dyDescent="0.25">
      <c r="B51" s="3" t="s">
        <v>8</v>
      </c>
      <c r="C51" s="3" t="s">
        <v>9</v>
      </c>
    </row>
    <row r="52" spans="2:4" x14ac:dyDescent="0.25">
      <c r="B52" t="s">
        <v>14</v>
      </c>
      <c r="C52" s="2">
        <v>0.193</v>
      </c>
      <c r="D52">
        <f>(100%-C52)*C5</f>
        <v>36311998.532969996</v>
      </c>
    </row>
    <row r="53" spans="2:4" ht="15.75" thickBot="1" x14ac:dyDescent="0.3">
      <c r="B53" t="s">
        <v>25</v>
      </c>
      <c r="C53" s="2"/>
      <c r="D53">
        <f>$C$7+$C$8</f>
        <v>7068376.5999999996</v>
      </c>
    </row>
    <row r="54" spans="2:4" ht="15.75" thickTop="1" x14ac:dyDescent="0.25">
      <c r="B54" t="s">
        <v>22</v>
      </c>
      <c r="D54" s="5">
        <f>SUM(D52:D53)</f>
        <v>43380375.132969998</v>
      </c>
    </row>
    <row r="55" spans="2:4" x14ac:dyDescent="0.25">
      <c r="B55" t="s">
        <v>23</v>
      </c>
      <c r="D55" s="4">
        <f>D54/C3</f>
        <v>0.7490659355124234</v>
      </c>
    </row>
    <row r="57" spans="2:4" x14ac:dyDescent="0.25">
      <c r="B57" s="3" t="s">
        <v>8</v>
      </c>
      <c r="C57" s="3" t="s">
        <v>9</v>
      </c>
    </row>
    <row r="58" spans="2:4" x14ac:dyDescent="0.25">
      <c r="B58" t="s">
        <v>14</v>
      </c>
      <c r="C58" s="2">
        <v>0.193</v>
      </c>
      <c r="D58">
        <f>(100%-C58)*C5</f>
        <v>36311998.532969996</v>
      </c>
    </row>
    <row r="59" spans="2:4" x14ac:dyDescent="0.25">
      <c r="B59" t="s">
        <v>25</v>
      </c>
      <c r="C59" s="2"/>
      <c r="D59">
        <f>$C$7+$C$8</f>
        <v>7068376.5999999996</v>
      </c>
    </row>
    <row r="60" spans="2:4" ht="15.75" thickBot="1" x14ac:dyDescent="0.3">
      <c r="B60" t="s">
        <v>26</v>
      </c>
      <c r="C60" s="2"/>
      <c r="D60">
        <f>$C$6</f>
        <v>5847968.3700000001</v>
      </c>
    </row>
    <row r="61" spans="2:4" ht="15.75" thickTop="1" x14ac:dyDescent="0.25">
      <c r="B61" t="s">
        <v>22</v>
      </c>
      <c r="D61" s="5">
        <f>SUM(D58:D60)</f>
        <v>49228343.502969995</v>
      </c>
    </row>
    <row r="62" spans="2:4" x14ac:dyDescent="0.25">
      <c r="B62" t="s">
        <v>23</v>
      </c>
      <c r="D62" s="4">
        <f>D61/$C$3</f>
        <v>0.85004509681506113</v>
      </c>
    </row>
    <row r="64" spans="2:4" x14ac:dyDescent="0.25">
      <c r="B64" s="3" t="s">
        <v>8</v>
      </c>
      <c r="C64" s="3" t="s">
        <v>9</v>
      </c>
    </row>
    <row r="65" spans="2:4" x14ac:dyDescent="0.25">
      <c r="B65" t="s">
        <v>27</v>
      </c>
      <c r="C65" s="2"/>
      <c r="D65">
        <f>C5</f>
        <v>44996280.710000001</v>
      </c>
    </row>
    <row r="66" spans="2:4" ht="15.75" thickBot="1" x14ac:dyDescent="0.3">
      <c r="B66" t="s">
        <v>28</v>
      </c>
      <c r="C66" s="2"/>
      <c r="D66">
        <f>C7</f>
        <v>6370599.96</v>
      </c>
    </row>
    <row r="67" spans="2:4" ht="15.75" thickTop="1" x14ac:dyDescent="0.25">
      <c r="B67" t="s">
        <v>22</v>
      </c>
      <c r="D67" s="5">
        <f>SUM(D65:D66)</f>
        <v>51366880.670000002</v>
      </c>
    </row>
    <row r="68" spans="2:4" x14ac:dyDescent="0.25">
      <c r="B68" t="s">
        <v>23</v>
      </c>
      <c r="D68" s="4">
        <f>D67/$C$3</f>
        <v>0.88697205603888618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2015-06-05T18:17:20Z</dcterms:created>
  <dcterms:modified xsi:type="dcterms:W3CDTF">2020-10-17T07:07:18Z</dcterms:modified>
</cp:coreProperties>
</file>