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66925"/>
  <xr:revisionPtr revIDLastSave="0" documentId="13_ncr:1_{AD5FD70E-B7A5-4D1E-B057-1FAEE3C18E19}" xr6:coauthVersionLast="47" xr6:coauthVersionMax="47" xr10:uidLastSave="{00000000-0000-0000-0000-000000000000}"/>
  <bookViews>
    <workbookView xWindow="-120" yWindow="-120" windowWidth="51840" windowHeight="21120" xr2:uid="{010CA26D-E0A1-4330-9BB0-2FFE8661F74D}"/>
  </bookViews>
  <sheets>
    <sheet name="Portfolio" sheetId="5" r:id="rId1"/>
    <sheet name="Memoriaal" sheetId="13" r:id="rId2"/>
    <sheet name="VAGE" sheetId="15" r:id="rId3"/>
    <sheet name="AVUV"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5" l="1"/>
  <c r="H6" i="15" s="1"/>
  <c r="G14" i="6"/>
  <c r="F14" i="6"/>
  <c r="C6" i="5"/>
  <c r="C5" i="5"/>
  <c r="D5" i="5" s="1"/>
  <c r="H14" i="6" l="1"/>
  <c r="J14" i="6" s="1"/>
  <c r="J15" i="6" s="1"/>
  <c r="D6" i="5"/>
  <c r="A26" i="5"/>
  <c r="D8" i="6" l="1"/>
  <c r="D7" i="6"/>
  <c r="D6" i="6"/>
  <c r="H6" i="6" l="1"/>
  <c r="J6" i="6" s="1"/>
  <c r="H7" i="6"/>
  <c r="J7" i="6" s="1"/>
  <c r="H8" i="6"/>
  <c r="J8" i="6" s="1"/>
  <c r="C7" i="5"/>
  <c r="C9" i="5" s="1"/>
  <c r="D5" i="15"/>
  <c r="D7" i="15" s="1"/>
  <c r="D5" i="6"/>
  <c r="H5" i="6" s="1"/>
  <c r="H5" i="15" l="1"/>
  <c r="H7" i="15" s="1"/>
  <c r="B3" i="5"/>
  <c r="D3" i="5" s="1"/>
  <c r="J5" i="6"/>
  <c r="J9" i="6" s="1"/>
  <c r="B4" i="5" s="1"/>
  <c r="D9" i="6"/>
  <c r="D4" i="5" l="1"/>
  <c r="H9" i="6"/>
  <c r="D7" i="5" l="1"/>
  <c r="B3" i="13" s="1"/>
  <c r="B4" i="13" s="1"/>
  <c r="C12" i="13" s="1"/>
  <c r="B13" i="13" s="1"/>
  <c r="B7" i="5"/>
  <c r="B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 authorId="0" shapeId="0" xr:uid="{4AF1E876-FA65-4B8A-A5C5-5317537A19B5}">
      <text>
        <r>
          <rPr>
            <b/>
            <sz val="9"/>
            <color indexed="81"/>
            <rFont val="Tahoma"/>
            <family val="2"/>
          </rPr>
          <t>Gerben:</t>
        </r>
        <r>
          <rPr>
            <sz val="9"/>
            <color indexed="81"/>
            <rFont val="Tahoma"/>
            <family val="2"/>
          </rPr>
          <t xml:space="preserve">
Kolom “Value” van de “Open Positions” tabel van het jaaroverzicht</t>
        </r>
      </text>
    </comment>
    <comment ref="A6" authorId="0" shapeId="0" xr:uid="{175CFBC9-EA8D-45CE-A4DF-3380A6898A06}">
      <text>
        <r>
          <rPr>
            <b/>
            <sz val="9"/>
            <color indexed="81"/>
            <rFont val="Tahoma"/>
            <charset val="1"/>
          </rPr>
          <t>Gerben:</t>
        </r>
        <r>
          <rPr>
            <sz val="9"/>
            <color indexed="81"/>
            <rFont val="Tahoma"/>
            <charset val="1"/>
          </rPr>
          <t xml:space="preserve">
“Interest Accruals” van de “Net Asset value” tabel van het jaaroverzicht</t>
        </r>
      </text>
    </comment>
    <comment ref="C7" authorId="0" shapeId="0" xr:uid="{97270804-544F-45E5-B49D-778E0178CFF9}">
      <text>
        <r>
          <rPr>
            <b/>
            <sz val="9"/>
            <color indexed="81"/>
            <rFont val="Tahoma"/>
            <family val="2"/>
          </rPr>
          <t>Gerben:</t>
        </r>
        <r>
          <rPr>
            <sz val="9"/>
            <color indexed="81"/>
            <rFont val="Tahoma"/>
            <family val="2"/>
          </rPr>
          <t xml:space="preserve">
Deze moet matchen met de regel “Total” van de “Net Asset value” tabel van het jaaroverzicht</t>
        </r>
      </text>
    </comment>
    <comment ref="B9" authorId="0" shapeId="0" xr:uid="{2A7ABF49-BF32-4FB1-A164-4A53D1131250}">
      <text>
        <r>
          <rPr>
            <b/>
            <sz val="9"/>
            <color indexed="81"/>
            <rFont val="Tahoma"/>
            <family val="2"/>
          </rPr>
          <t>Gerben:</t>
        </r>
        <r>
          <rPr>
            <sz val="9"/>
            <color indexed="81"/>
            <rFont val="Tahoma"/>
            <family val="2"/>
          </rPr>
          <t xml:space="preserve">
Deze matched helaas NIET met “Total Stocks in EUR” en dan de kolom “Cost Basis” van de “Open Positions” tabel van het jaaroverzicht.
Dit komt omdat IBKR valuta omzet met de einde jaar valuta koers. Niet met de koers van de dag van aankoop.</t>
        </r>
      </text>
    </comment>
    <comment ref="C9" authorId="0" shapeId="0" xr:uid="{D4B876F1-F57F-433D-B087-AB31F059F712}">
      <text>
        <r>
          <rPr>
            <b/>
            <sz val="9"/>
            <color indexed="81"/>
            <rFont val="Tahoma"/>
            <family val="2"/>
          </rPr>
          <t>Gerben:</t>
        </r>
        <r>
          <rPr>
            <sz val="9"/>
            <color indexed="81"/>
            <rFont val="Tahoma"/>
            <family val="2"/>
          </rPr>
          <t xml:space="preserve">
Deze moet matchen met de regel “Total Stocks in EUR” en dan de kolom “Value” van de “Open Positions” tabel van het jaaroverzicht.</t>
        </r>
      </text>
    </comment>
    <comment ref="A26" authorId="0" shapeId="0" xr:uid="{5BCA8ACC-7624-4988-98DF-12324E675A61}">
      <text>
        <r>
          <rPr>
            <b/>
            <sz val="9"/>
            <color indexed="81"/>
            <rFont val="Tahoma"/>
            <charset val="1"/>
          </rPr>
          <t>Gerben:</t>
        </r>
        <r>
          <rPr>
            <sz val="9"/>
            <color indexed="81"/>
            <rFont val="Tahoma"/>
            <charset val="1"/>
          </rPr>
          <t xml:space="preserve">
“Base Currency Exchange Rate” van het dagoverzicht van 31-12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9" authorId="0" shapeId="0" xr:uid="{5E0BB50C-DA03-46C4-BDC1-440334B27725}">
      <text>
        <r>
          <rPr>
            <b/>
            <sz val="9"/>
            <color indexed="81"/>
            <rFont val="Tahoma"/>
            <family val="2"/>
          </rPr>
          <t>Gerben:</t>
        </r>
        <r>
          <rPr>
            <sz val="9"/>
            <color indexed="81"/>
            <rFont val="Tahoma"/>
            <family val="2"/>
          </rPr>
          <t xml:space="preserve">
Als dividend wordt uitgekeerd in dollars dan rekent IBKR op het jaaroverzicht bij deze post wel met de dagkoers van de dag waarop het dividend is uitgekeerd.
Deze kan dus 1:1 van het jaaroverzicht worden overgenomen.</t>
        </r>
      </text>
    </comment>
    <comment ref="D10" authorId="0" shapeId="0" xr:uid="{54020426-FEE7-4885-ACB1-B19BCBEAB20D}">
      <text>
        <r>
          <rPr>
            <b/>
            <sz val="9"/>
            <color indexed="81"/>
            <rFont val="Tahoma"/>
            <family val="2"/>
          </rPr>
          <t>Gerben:</t>
        </r>
        <r>
          <rPr>
            <sz val="9"/>
            <color indexed="81"/>
            <rFont val="Tahoma"/>
            <family val="2"/>
          </rPr>
          <t xml:space="preserve">
Zelfde als bij dividend: hier wordt met einde dag koersen gewerkt. Dus 1:1 over te nemen.</t>
        </r>
      </text>
    </comment>
    <comment ref="D11" authorId="0" shapeId="0" xr:uid="{F7148205-C4B0-452F-8467-9D9A3E4B3A6C}">
      <text>
        <r>
          <rPr>
            <b/>
            <sz val="9"/>
            <color indexed="81"/>
            <rFont val="Tahoma"/>
            <family val="2"/>
          </rPr>
          <t>Gerben:</t>
        </r>
        <r>
          <rPr>
            <sz val="9"/>
            <color indexed="81"/>
            <rFont val="Tahoma"/>
            <family val="2"/>
          </rPr>
          <t xml:space="preserve">
Zelfde als bij dividend: hier wordt met einde dag koersen gewerkt. Dus 1:1 over te nemen.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4" authorId="0" shapeId="0" xr:uid="{8EF5778B-BBB1-4E41-B568-54B43B97A112}">
      <text>
        <r>
          <rPr>
            <b/>
            <sz val="9"/>
            <color indexed="81"/>
            <rFont val="Tahoma"/>
            <family val="2"/>
          </rPr>
          <t>Gerben:</t>
        </r>
        <r>
          <rPr>
            <sz val="9"/>
            <color indexed="81"/>
            <rFont val="Tahoma"/>
            <family val="2"/>
          </rPr>
          <t xml:space="preserve">
Als er nog niks verkocht is dan matched deze met de “Basis” van de Trades sectie</t>
        </r>
      </text>
    </comment>
    <comment ref="H7" authorId="0" shapeId="0" xr:uid="{9797A7C1-5337-499B-8B60-4CE32C60FDD7}">
      <text>
        <r>
          <rPr>
            <b/>
            <sz val="9"/>
            <color indexed="81"/>
            <rFont val="Tahoma"/>
            <family val="2"/>
          </rPr>
          <t>Gerben:</t>
        </r>
        <r>
          <rPr>
            <sz val="9"/>
            <color indexed="81"/>
            <rFont val="Tahoma"/>
            <family val="2"/>
          </rPr>
          <t xml:space="preserve">
Deze moet matchen met “Cost Basis” van de “Open Positions” tabel.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4" authorId="0" shapeId="0" xr:uid="{4339AD3E-B21C-434A-8FFE-8226D9B751F8}">
      <text>
        <r>
          <rPr>
            <b/>
            <sz val="9"/>
            <color indexed="81"/>
            <rFont val="Tahoma"/>
            <family val="2"/>
          </rPr>
          <t>Gerben:</t>
        </r>
        <r>
          <rPr>
            <sz val="9"/>
            <color indexed="81"/>
            <rFont val="Tahoma"/>
            <family val="2"/>
          </rPr>
          <t xml:space="preserve">
Als er nog niks verkocht is dan matched deze met de “Basis” van de Trades sectie</t>
        </r>
      </text>
    </comment>
    <comment ref="H9" authorId="0" shapeId="0" xr:uid="{CEC48A66-4809-43FC-9307-E768A3F2B72F}">
      <text>
        <r>
          <rPr>
            <b/>
            <sz val="9"/>
            <color indexed="81"/>
            <rFont val="Tahoma"/>
            <family val="2"/>
          </rPr>
          <t>Gerben:</t>
        </r>
        <r>
          <rPr>
            <sz val="9"/>
            <color indexed="81"/>
            <rFont val="Tahoma"/>
            <family val="2"/>
          </rPr>
          <t xml:space="preserve">
Deze moet matchen met “Cost Basis” van de “Open Positions” tabel.</t>
        </r>
      </text>
    </comment>
    <comment ref="F13" authorId="0" shapeId="0" xr:uid="{0572AF30-A7DD-490B-9180-66ACDD8D26E9}">
      <text>
        <r>
          <rPr>
            <b/>
            <sz val="9"/>
            <color indexed="81"/>
            <rFont val="Tahoma"/>
            <family val="2"/>
          </rPr>
          <t>Gerben:</t>
        </r>
        <r>
          <rPr>
            <sz val="9"/>
            <color indexed="81"/>
            <rFont val="Tahoma"/>
            <family val="2"/>
          </rPr>
          <t xml:space="preserve">
Deze matched met de “Proceeds” van de trade</t>
        </r>
      </text>
    </comment>
    <comment ref="G13" authorId="0" shapeId="0" xr:uid="{22948B3E-00F6-4157-96D0-7C675C9D7B1F}">
      <text>
        <r>
          <rPr>
            <b/>
            <sz val="9"/>
            <color indexed="81"/>
            <rFont val="Tahoma"/>
            <family val="2"/>
          </rPr>
          <t>Gerben:</t>
        </r>
        <r>
          <rPr>
            <sz val="9"/>
            <color indexed="81"/>
            <rFont val="Tahoma"/>
            <family val="2"/>
          </rPr>
          <t xml:space="preserve">
Deze matched met de “Basis” van de trade</t>
        </r>
      </text>
    </comment>
    <comment ref="H13" authorId="0" shapeId="0" xr:uid="{C67D2D7C-D890-43C8-83FA-B5DA710529EC}">
      <text>
        <r>
          <rPr>
            <b/>
            <sz val="9"/>
            <color indexed="81"/>
            <rFont val="Tahoma"/>
            <family val="2"/>
          </rPr>
          <t>Gerben:</t>
        </r>
        <r>
          <rPr>
            <sz val="9"/>
            <color indexed="81"/>
            <rFont val="Tahoma"/>
            <family val="2"/>
          </rPr>
          <t xml:space="preserve">
Deze matched met de “Realized P/L” van de trade</t>
        </r>
      </text>
    </comment>
    <comment ref="K13" authorId="0" shapeId="0" xr:uid="{51CD66FE-BEE9-4EF7-BE13-9D4D5B75227E}">
      <text>
        <r>
          <rPr>
            <b/>
            <sz val="9"/>
            <color indexed="81"/>
            <rFont val="Tahoma"/>
            <family val="2"/>
          </rPr>
          <t>Gerben:</t>
        </r>
        <r>
          <rPr>
            <sz val="9"/>
            <color indexed="81"/>
            <rFont val="Tahoma"/>
            <family val="2"/>
          </rPr>
          <t xml:space="preserve">
Welke stukken zijn er verkocht van de gekochte stukken?</t>
        </r>
      </text>
    </comment>
  </commentList>
</comments>
</file>

<file path=xl/sharedStrings.xml><?xml version="1.0" encoding="utf-8"?>
<sst xmlns="http://schemas.openxmlformats.org/spreadsheetml/2006/main" count="90" uniqueCount="71">
  <si>
    <t>Datum</t>
  </si>
  <si>
    <t>Stuks</t>
  </si>
  <si>
    <t>Prijs</t>
  </si>
  <si>
    <t>Transactiekosten</t>
  </si>
  <si>
    <t>Totaal</t>
  </si>
  <si>
    <t>Avantis U.S. Small Cap Value ETF</t>
  </si>
  <si>
    <t>AVUV</t>
  </si>
  <si>
    <t>Waardering</t>
  </si>
  <si>
    <t>Transactiekstn</t>
  </si>
  <si>
    <t>Gerealiseerde winst</t>
  </si>
  <si>
    <t>Opmerkingen</t>
  </si>
  <si>
    <t>Verkocht</t>
  </si>
  <si>
    <t>Gekocht</t>
  </si>
  <si>
    <t>Valuta transactiekosten</t>
  </si>
  <si>
    <t>Methodiek</t>
  </si>
  <si>
    <t>Positie</t>
  </si>
  <si>
    <t>Open posities</t>
  </si>
  <si>
    <t>Cash</t>
  </si>
  <si>
    <t>Waarde nu</t>
  </si>
  <si>
    <t>Verschil</t>
  </si>
  <si>
    <t>Memoriaal</t>
  </si>
  <si>
    <t>Debet</t>
  </si>
  <si>
    <t>Credit</t>
  </si>
  <si>
    <t>Te betalen vennootschapsbelasting</t>
  </si>
  <si>
    <t>Beleggingsrekening - IBKR</t>
  </si>
  <si>
    <t>Koersverlies en valutaresultaat effecten</t>
  </si>
  <si>
    <t>Balans</t>
  </si>
  <si>
    <t>conform waardering</t>
  </si>
  <si>
    <t>Worden wel meteen als kosten meegenomen, maar niet expliciet los</t>
  </si>
  <si>
    <t>Einde jaar stuks</t>
  </si>
  <si>
    <t>Prijs koop</t>
  </si>
  <si>
    <t>Rente inkomsten</t>
  </si>
  <si>
    <t>Dividend inkomsten</t>
  </si>
  <si>
    <t>Vanguard Global Aggregate Bond UCITS ETF</t>
  </si>
  <si>
    <t>VAGE</t>
  </si>
  <si>
    <t>USD Koers</t>
  </si>
  <si>
    <t>Neem dezelfde koers per transactiedatum als waar IBKR einde dag overzicht mee rekent</t>
  </si>
  <si>
    <t>Valuta koers IBKR 31-12-2024. 1 USD =</t>
  </si>
  <si>
    <t>EUR</t>
  </si>
  <si>
    <t>Valuta einde jaar</t>
  </si>
  <si>
    <t>Neem de koers per 31-12 van het IBKR rapport</t>
  </si>
  <si>
    <t>Prijs koop $</t>
  </si>
  <si>
    <t>Marktwaarde</t>
  </si>
  <si>
    <t>verandering in waarde op balans</t>
  </si>
  <si>
    <t>"Dividends" op IBKR jaaroverzicht</t>
  </si>
  <si>
    <t>"Interest" op IBKR jaaroverzicht</t>
  </si>
  <si>
    <t>waarde 31-12-2024 op de balans, voor de memoriaal werd gemaakt</t>
  </si>
  <si>
    <t>"Withholding tax" op IBKR jaaroverzicht (afgerond ivm VPB)</t>
  </si>
  <si>
    <t>Debet, dus - is winst, + is verlies</t>
  </si>
  <si>
    <t>Effecten worden gewaardeerd tegen historische kostprijs danwel lagere marktwaarde</t>
  </si>
  <si>
    <t>Kostprijs</t>
  </si>
  <si>
    <t>Kostprijs $</t>
  </si>
  <si>
    <t>Kostprijs €</t>
  </si>
  <si>
    <t>Valuta omzetten voor kostprijs</t>
  </si>
  <si>
    <t>Valuta omzetten voor marktwaarde</t>
  </si>
  <si>
    <t>Rente-opbouw</t>
  </si>
  <si>
    <t>Welke stukken</t>
  </si>
  <si>
    <t>Kostprijs of lagere marktwaarde</t>
  </si>
  <si>
    <t>Totaal aandelen</t>
  </si>
  <si>
    <t>IBKR Tax Optimizer instellingen</t>
  </si>
  <si>
    <t>Dit wordt per positie in zijn geheel bepaald</t>
  </si>
  <si>
    <t>Dat zou de kostprijs berekening in de valuta van de positie moeten matchen</t>
  </si>
  <si>
    <t>LIFO: Laatste stukken als eerst verkopen</t>
  </si>
  <si>
    <t>Account "Tax Lot Matching" staat nu ingesteld op "Last In, First Out (LIFO)"</t>
  </si>
  <si>
    <t>Bij Marktwaarde: n.v.t.</t>
  </si>
  <si>
    <t>Opbrengst $</t>
  </si>
  <si>
    <t>W/V $</t>
  </si>
  <si>
    <t>W/V €</t>
  </si>
  <si>
    <t>Kostprijs: aankoop transactiekosten erbij optellen, naar rato als er (gedeeltelijk) verkocht is</t>
  </si>
  <si>
    <t>Bij verkoop: verkoop transactiekosten er vanaf halen,</t>
  </si>
  <si>
    <t>ook voor aankoop kostprijs om winst te bepalen transactiekosten naar 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</si>
</sst>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 #,##0.00;[Red]&quot;€&quot;\ \-#,##0.00"/>
    <numFmt numFmtId="164" formatCode="_(&quot;$&quot;* #,##0.00_);_(&quot;$&quot;* \(#,##0.00\);_(&quot;$&quot;* &quot;-&quot;??_);_(@_)"/>
    <numFmt numFmtId="165" formatCode="_-[$$-409]* #,##0.00_ ;_-[$$-409]* \-#,##0.00\ ;_-[$$-409]* &quot;-&quot;??_ ;_-@_ "/>
    <numFmt numFmtId="166" formatCode="_ [$€-413]\ * #,##0.00_ ;_ [$€-413]\ * \-#,##0.00_ ;_ [$€-413]\ * &quot;-&quot;??_ ;_ @_ "/>
    <numFmt numFmtId="167" formatCode="_-[$$-409]* #,##0.0000_ ;_-[$$-409]* \-#,##0.0000\ ;_-[$$-409]* &quot;-&quot;??_ ;_-@_ "/>
    <numFmt numFmtId="168" formatCode="dd\-mm\-yy;@"/>
    <numFmt numFmtId="169" formatCode="_-[$$-409]* #,##0.000_ ;_-[$$-409]* \-#,##0.000\ ;_-[$$-409]* &quot;-&quot;??_ ;_-@_ "/>
    <numFmt numFmtId="170" formatCode="_ [$€-2]\ * #,##0.00_ ;_ [$€-2]\ * \-#,##0.00_ ;_ [$€-2]\ * &quot;-&quot;??_ ;_ @_ "/>
    <numFmt numFmtId="171" formatCode="_ [$€-413]\ * #,##0.000_ ;_ [$€-413]\ * \-#,##0.000_ ;_ [$€-413]\ * &quot;-&quot;??_ ;_ @_ "/>
    <numFmt numFmtId="172" formatCode="_ [$€-413]\ * #,##0.000_ ;_ [$€-413]\ * \-#,##0.000_ ;_ [$€-413]\ * &quot;-&quot;???_ ;_ @_ "/>
    <numFmt numFmtId="173" formatCode="0.00000"/>
    <numFmt numFmtId="174" formatCode="0.000000"/>
    <numFmt numFmtId="175" formatCode="_-[$$-409]* #,##0.00_ ;_-[$$-409]* \-#,##0.00\ ;_-[$$-409]* &quot;-&quot;???_ ;_-@_ "/>
    <numFmt numFmtId="176" formatCode="_-[$$-409]* #,##0.000_ ;_-[$$-409]* \-#,##0.000\ ;_-[$$-409]* &quot;-&quot;???_ ;_-@_ "/>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4">
    <fill>
      <patternFill patternType="none"/>
    </fill>
    <fill>
      <patternFill patternType="gray125"/>
    </fill>
    <fill>
      <patternFill patternType="solid">
        <fgColor theme="4" tint="0.59999389629810485"/>
        <bgColor indexed="64"/>
      </patternFill>
    </fill>
    <fill>
      <patternFill patternType="solid">
        <fgColor theme="4"/>
        <bgColor indexed="64"/>
      </patternFill>
    </fill>
  </fills>
  <borders count="2">
    <border>
      <left/>
      <right/>
      <top/>
      <bottom/>
      <diagonal/>
    </border>
    <border>
      <left/>
      <right/>
      <top style="double">
        <color auto="1"/>
      </top>
      <bottom/>
      <diagonal/>
    </border>
  </borders>
  <cellStyleXfs count="2">
    <xf numFmtId="0" fontId="0" fillId="0" borderId="0"/>
    <xf numFmtId="164" fontId="1" fillId="0" borderId="0" applyFont="0" applyFill="0" applyBorder="0" applyAlignment="0" applyProtection="0"/>
  </cellStyleXfs>
  <cellXfs count="27">
    <xf numFmtId="0" fontId="0" fillId="0" borderId="0" xfId="0"/>
    <xf numFmtId="0" fontId="2" fillId="0" borderId="0" xfId="0" applyFont="1"/>
    <xf numFmtId="14" fontId="0" fillId="0" borderId="0" xfId="0" applyNumberFormat="1"/>
    <xf numFmtId="165" fontId="0" fillId="0" borderId="0" xfId="0" applyNumberFormat="1"/>
    <xf numFmtId="0" fontId="0" fillId="0" borderId="1" xfId="0" applyBorder="1"/>
    <xf numFmtId="165" fontId="0" fillId="0" borderId="1" xfId="0" applyNumberFormat="1" applyBorder="1"/>
    <xf numFmtId="0" fontId="2" fillId="2" borderId="0" xfId="0" applyFont="1" applyFill="1"/>
    <xf numFmtId="166" fontId="0" fillId="0" borderId="0" xfId="0" applyNumberFormat="1"/>
    <xf numFmtId="0" fontId="3" fillId="0" borderId="0" xfId="0" applyFont="1"/>
    <xf numFmtId="168" fontId="0" fillId="0" borderId="0" xfId="0" applyNumberFormat="1"/>
    <xf numFmtId="169" fontId="0" fillId="0" borderId="0" xfId="0" applyNumberFormat="1"/>
    <xf numFmtId="170" fontId="0" fillId="0" borderId="0" xfId="0" applyNumberFormat="1"/>
    <xf numFmtId="168" fontId="0" fillId="0" borderId="1" xfId="0" applyNumberFormat="1" applyBorder="1"/>
    <xf numFmtId="170" fontId="0" fillId="0" borderId="1" xfId="0" applyNumberFormat="1" applyBorder="1"/>
    <xf numFmtId="166" fontId="0" fillId="0" borderId="1" xfId="0" applyNumberFormat="1" applyBorder="1"/>
    <xf numFmtId="0" fontId="0" fillId="3" borderId="0" xfId="0" applyFill="1"/>
    <xf numFmtId="0" fontId="2" fillId="3" borderId="0" xfId="0" applyFont="1" applyFill="1"/>
    <xf numFmtId="8" fontId="0" fillId="0" borderId="0" xfId="0" applyNumberFormat="1"/>
    <xf numFmtId="170" fontId="0" fillId="0" borderId="0" xfId="1" applyNumberFormat="1" applyFont="1"/>
    <xf numFmtId="0" fontId="2" fillId="2" borderId="0" xfId="0" applyFont="1" applyFill="1" applyAlignment="1">
      <alignment horizontal="left"/>
    </xf>
    <xf numFmtId="172" fontId="0" fillId="0" borderId="0" xfId="0" applyNumberFormat="1"/>
    <xf numFmtId="167" fontId="0" fillId="0" borderId="1" xfId="0" applyNumberFormat="1" applyBorder="1"/>
    <xf numFmtId="171"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C5B2-3288-4A8B-B41E-BC4B67CA3191}">
  <dimension ref="A1:G28"/>
  <sheetViews>
    <sheetView tabSelected="1" zoomScale="145" zoomScaleNormal="145" workbookViewId="0"/>
  </sheetViews>
  <sheetFormatPr defaultRowHeight="15" x14ac:dyDescent="0.25"/>
  <cols>
    <col min="1" max="1" width="14.140625" customWidth="1"/>
    <col min="2" max="4" width="40.7109375" customWidth="1"/>
    <col min="7" max="7" width="11.140625" bestFit="1" customWidth="1"/>
  </cols>
  <sheetData>
    <row r="1" spans="1:7" x14ac:dyDescent="0.25">
      <c r="A1" s="16" t="s">
        <v>16</v>
      </c>
      <c r="B1" s="15"/>
      <c r="C1" s="15"/>
      <c r="D1" s="15"/>
      <c r="G1" s="17"/>
    </row>
    <row r="2" spans="1:7" x14ac:dyDescent="0.25">
      <c r="A2" s="6" t="s">
        <v>15</v>
      </c>
      <c r="B2" s="6" t="s">
        <v>50</v>
      </c>
      <c r="C2" s="6" t="s">
        <v>42</v>
      </c>
      <c r="D2" s="6" t="s">
        <v>57</v>
      </c>
      <c r="G2" s="17"/>
    </row>
    <row r="3" spans="1:7" x14ac:dyDescent="0.25">
      <c r="A3" t="s">
        <v>34</v>
      </c>
      <c r="B3" s="11">
        <f>VAGE!H7</f>
        <v>2653.7081632499999</v>
      </c>
      <c r="C3" s="7">
        <v>3000</v>
      </c>
      <c r="D3" s="11">
        <f t="shared" ref="D3:D5" si="0">MIN(B3,C3)</f>
        <v>2653.7081632499999</v>
      </c>
      <c r="G3" s="17"/>
    </row>
    <row r="4" spans="1:7" x14ac:dyDescent="0.25">
      <c r="A4" t="s">
        <v>6</v>
      </c>
      <c r="B4" s="11">
        <f>AVUV!J9</f>
        <v>7398.7488885000002</v>
      </c>
      <c r="C4" s="7">
        <v>7500</v>
      </c>
      <c r="D4" s="11">
        <f t="shared" si="0"/>
        <v>7398.7488885000002</v>
      </c>
    </row>
    <row r="5" spans="1:7" x14ac:dyDescent="0.25">
      <c r="A5" t="s">
        <v>17</v>
      </c>
      <c r="B5" s="11">
        <v>203.55</v>
      </c>
      <c r="C5" s="7">
        <f>B5</f>
        <v>203.55</v>
      </c>
      <c r="D5" s="11">
        <f t="shared" si="0"/>
        <v>203.55</v>
      </c>
    </row>
    <row r="6" spans="1:7" ht="15.75" thickBot="1" x14ac:dyDescent="0.3">
      <c r="A6" t="s">
        <v>55</v>
      </c>
      <c r="B6" s="11">
        <v>16.559999999999999</v>
      </c>
      <c r="C6" s="7">
        <f>B6</f>
        <v>16.559999999999999</v>
      </c>
      <c r="D6" s="11">
        <f t="shared" ref="D6" si="1">MIN(B6,C6)</f>
        <v>16.559999999999999</v>
      </c>
    </row>
    <row r="7" spans="1:7" ht="15.75" thickTop="1" x14ac:dyDescent="0.25">
      <c r="A7" s="4" t="s">
        <v>4</v>
      </c>
      <c r="B7" s="13">
        <f>SUM(B3:B6)</f>
        <v>10272.567051749998</v>
      </c>
      <c r="C7" s="13">
        <f>SUM(C3:C6)</f>
        <v>10720.109999999999</v>
      </c>
      <c r="D7" s="13">
        <f>SUM(D3:D6)</f>
        <v>10272.567051749998</v>
      </c>
    </row>
    <row r="8" spans="1:7" x14ac:dyDescent="0.25">
      <c r="B8" s="11"/>
      <c r="C8" s="7"/>
    </row>
    <row r="9" spans="1:7" x14ac:dyDescent="0.25">
      <c r="A9" t="s">
        <v>58</v>
      </c>
      <c r="B9" s="7">
        <f>B7-B5-B6</f>
        <v>10052.45705175</v>
      </c>
      <c r="C9" s="7">
        <f>C7-C5-C6</f>
        <v>10500</v>
      </c>
    </row>
    <row r="10" spans="1:7" x14ac:dyDescent="0.25">
      <c r="B10" s="11"/>
    </row>
    <row r="11" spans="1:7" x14ac:dyDescent="0.25">
      <c r="A11" s="16" t="s">
        <v>14</v>
      </c>
      <c r="B11" s="15"/>
      <c r="C11" s="15"/>
      <c r="D11" s="15"/>
    </row>
    <row r="12" spans="1:7" x14ac:dyDescent="0.25">
      <c r="A12" s="8" t="s">
        <v>7</v>
      </c>
      <c r="C12" s="8" t="s">
        <v>49</v>
      </c>
    </row>
    <row r="13" spans="1:7" x14ac:dyDescent="0.25">
      <c r="A13" s="8"/>
      <c r="C13" s="8" t="s">
        <v>60</v>
      </c>
    </row>
    <row r="14" spans="1:7" x14ac:dyDescent="0.25">
      <c r="A14" s="8" t="s">
        <v>9</v>
      </c>
      <c r="C14" s="8" t="s">
        <v>62</v>
      </c>
    </row>
    <row r="15" spans="1:7" x14ac:dyDescent="0.25">
      <c r="A15" s="8" t="s">
        <v>3</v>
      </c>
      <c r="C15" s="8" t="s">
        <v>68</v>
      </c>
    </row>
    <row r="16" spans="1:7" x14ac:dyDescent="0.25">
      <c r="A16" s="8"/>
      <c r="C16" s="8" t="s">
        <v>69</v>
      </c>
    </row>
    <row r="17" spans="1:4" x14ac:dyDescent="0.25">
      <c r="A17" s="8"/>
      <c r="C17" s="8" t="s">
        <v>70</v>
      </c>
    </row>
    <row r="18" spans="1:4" x14ac:dyDescent="0.25">
      <c r="A18" s="8"/>
      <c r="C18" s="8" t="s">
        <v>64</v>
      </c>
    </row>
    <row r="19" spans="1:4" x14ac:dyDescent="0.25">
      <c r="A19" s="8" t="s">
        <v>13</v>
      </c>
      <c r="C19" s="8" t="s">
        <v>28</v>
      </c>
    </row>
    <row r="20" spans="1:4" x14ac:dyDescent="0.25">
      <c r="A20" s="8" t="s">
        <v>53</v>
      </c>
      <c r="C20" s="8" t="s">
        <v>36</v>
      </c>
    </row>
    <row r="21" spans="1:4" x14ac:dyDescent="0.25">
      <c r="A21" s="8" t="s">
        <v>54</v>
      </c>
      <c r="C21" s="8" t="s">
        <v>40</v>
      </c>
    </row>
    <row r="22" spans="1:4" x14ac:dyDescent="0.25">
      <c r="A22" s="8" t="s">
        <v>59</v>
      </c>
      <c r="C22" s="8" t="s">
        <v>63</v>
      </c>
    </row>
    <row r="23" spans="1:4" x14ac:dyDescent="0.25">
      <c r="C23" s="8" t="s">
        <v>61</v>
      </c>
    </row>
    <row r="24" spans="1:4" x14ac:dyDescent="0.25">
      <c r="A24" s="16" t="s">
        <v>39</v>
      </c>
      <c r="B24" s="15"/>
      <c r="C24" s="15"/>
      <c r="D24" s="15"/>
    </row>
    <row r="25" spans="1:4" x14ac:dyDescent="0.25">
      <c r="A25" t="s">
        <v>37</v>
      </c>
      <c r="B25" s="2"/>
    </row>
    <row r="26" spans="1:4" x14ac:dyDescent="0.25">
      <c r="A26" s="24">
        <f>0.96586</f>
        <v>0.96586000000000005</v>
      </c>
      <c r="B26" t="s">
        <v>38</v>
      </c>
    </row>
    <row r="27" spans="1:4" x14ac:dyDescent="0.25">
      <c r="B27" s="24"/>
    </row>
    <row r="28" spans="1:4" x14ac:dyDescent="0.25">
      <c r="A28" s="8"/>
    </row>
  </sheetData>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A5BC6-EAF7-481A-80D6-3F5DF834BFDF}">
  <dimension ref="A1:D17"/>
  <sheetViews>
    <sheetView zoomScale="145" zoomScaleNormal="145" workbookViewId="0"/>
  </sheetViews>
  <sheetFormatPr defaultRowHeight="15" x14ac:dyDescent="0.25"/>
  <cols>
    <col min="1" max="1" width="37.7109375" customWidth="1"/>
    <col min="2" max="2" width="18.140625" customWidth="1"/>
    <col min="3" max="3" width="23" customWidth="1"/>
    <col min="4" max="4" width="54.5703125" customWidth="1"/>
  </cols>
  <sheetData>
    <row r="1" spans="1:4" x14ac:dyDescent="0.25">
      <c r="A1" s="6" t="s">
        <v>26</v>
      </c>
      <c r="B1" s="6"/>
      <c r="C1" s="6"/>
      <c r="D1" s="6"/>
    </row>
    <row r="2" spans="1:4" x14ac:dyDescent="0.25">
      <c r="A2" s="1" t="s">
        <v>24</v>
      </c>
      <c r="B2" s="18">
        <v>10000</v>
      </c>
      <c r="C2" s="8" t="s">
        <v>46</v>
      </c>
    </row>
    <row r="3" spans="1:4" x14ac:dyDescent="0.25">
      <c r="A3" s="1" t="s">
        <v>18</v>
      </c>
      <c r="B3" s="18">
        <f>Portfolio!D7</f>
        <v>10272.567051749998</v>
      </c>
      <c r="C3" s="8" t="s">
        <v>27</v>
      </c>
    </row>
    <row r="4" spans="1:4" x14ac:dyDescent="0.25">
      <c r="A4" s="1" t="s">
        <v>19</v>
      </c>
      <c r="B4" s="18">
        <f>B3-B2</f>
        <v>272.56705174999843</v>
      </c>
    </row>
    <row r="5" spans="1:4" x14ac:dyDescent="0.25">
      <c r="C5" s="18"/>
    </row>
    <row r="6" spans="1:4" x14ac:dyDescent="0.25">
      <c r="A6" s="1"/>
      <c r="B6" s="18"/>
      <c r="C6" s="18"/>
    </row>
    <row r="7" spans="1:4" x14ac:dyDescent="0.25">
      <c r="A7" s="6" t="s">
        <v>20</v>
      </c>
      <c r="B7" s="6"/>
      <c r="C7" s="6"/>
      <c r="D7" s="6"/>
    </row>
    <row r="8" spans="1:4" x14ac:dyDescent="0.25">
      <c r="B8" s="1" t="s">
        <v>21</v>
      </c>
      <c r="C8" s="1" t="s">
        <v>22</v>
      </c>
      <c r="D8" s="1" t="s">
        <v>10</v>
      </c>
    </row>
    <row r="9" spans="1:4" x14ac:dyDescent="0.25">
      <c r="A9" s="1" t="s">
        <v>32</v>
      </c>
      <c r="B9" s="18"/>
      <c r="C9" s="18">
        <v>500</v>
      </c>
      <c r="D9" s="8" t="s">
        <v>44</v>
      </c>
    </row>
    <row r="10" spans="1:4" x14ac:dyDescent="0.25">
      <c r="A10" s="1" t="s">
        <v>31</v>
      </c>
      <c r="B10" s="18"/>
      <c r="C10" s="18">
        <v>100.02</v>
      </c>
      <c r="D10" s="8" t="s">
        <v>45</v>
      </c>
    </row>
    <row r="11" spans="1:4" x14ac:dyDescent="0.25">
      <c r="A11" s="1" t="s">
        <v>23</v>
      </c>
      <c r="B11" s="18">
        <v>50</v>
      </c>
      <c r="C11" s="18"/>
      <c r="D11" s="8" t="s">
        <v>47</v>
      </c>
    </row>
    <row r="12" spans="1:4" x14ac:dyDescent="0.25">
      <c r="A12" s="1" t="s">
        <v>24</v>
      </c>
      <c r="B12" s="18"/>
      <c r="C12" s="18">
        <f>-B4</f>
        <v>-272.56705174999843</v>
      </c>
      <c r="D12" s="8" t="s">
        <v>43</v>
      </c>
    </row>
    <row r="13" spans="1:4" x14ac:dyDescent="0.25">
      <c r="A13" s="1" t="s">
        <v>25</v>
      </c>
      <c r="B13" s="18">
        <f>C9+C12+C10-B11</f>
        <v>277.45294825000155</v>
      </c>
      <c r="C13" s="18"/>
      <c r="D13" s="8" t="s">
        <v>48</v>
      </c>
    </row>
    <row r="14" spans="1:4" x14ac:dyDescent="0.25">
      <c r="B14" s="11"/>
      <c r="C14" s="11"/>
    </row>
    <row r="15" spans="1:4" x14ac:dyDescent="0.25">
      <c r="C15" s="11"/>
    </row>
    <row r="16" spans="1:4" x14ac:dyDescent="0.25">
      <c r="A16" s="8"/>
      <c r="C16" s="11"/>
    </row>
    <row r="17" spans="3:3" x14ac:dyDescent="0.25">
      <c r="C17" s="11"/>
    </row>
  </sheetData>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A222-96F4-4FB2-8388-15AB901F00B1}">
  <dimension ref="A1:I11"/>
  <sheetViews>
    <sheetView zoomScale="145" zoomScaleNormal="145" workbookViewId="0">
      <selection activeCell="H19" sqref="H19"/>
    </sheetView>
  </sheetViews>
  <sheetFormatPr defaultRowHeight="15" x14ac:dyDescent="0.25"/>
  <cols>
    <col min="1" max="1" width="14.7109375" customWidth="1"/>
    <col min="2" max="3" width="12.7109375" customWidth="1"/>
    <col min="4" max="4" width="14.7109375" customWidth="1"/>
    <col min="5" max="6" width="12.7109375" customWidth="1"/>
    <col min="7" max="8" width="14.7109375" customWidth="1"/>
    <col min="11" max="11" width="9.140625" customWidth="1"/>
  </cols>
  <sheetData>
    <row r="1" spans="1:9" x14ac:dyDescent="0.25">
      <c r="A1" s="19" t="s">
        <v>33</v>
      </c>
      <c r="B1" s="19"/>
      <c r="C1" s="19"/>
      <c r="D1" s="19"/>
      <c r="E1" s="19"/>
      <c r="F1" s="19"/>
      <c r="G1" s="19"/>
      <c r="H1" s="6" t="s">
        <v>34</v>
      </c>
    </row>
    <row r="3" spans="1:9" x14ac:dyDescent="0.25">
      <c r="A3" s="6" t="s">
        <v>12</v>
      </c>
      <c r="B3" s="6"/>
      <c r="C3" s="6"/>
      <c r="D3" s="6"/>
      <c r="E3" s="6"/>
      <c r="F3" s="6"/>
      <c r="G3" s="6"/>
      <c r="H3" s="6"/>
    </row>
    <row r="4" spans="1:9" x14ac:dyDescent="0.25">
      <c r="A4" s="1" t="s">
        <v>0</v>
      </c>
      <c r="B4" s="1" t="s">
        <v>12</v>
      </c>
      <c r="C4" s="1" t="s">
        <v>11</v>
      </c>
      <c r="D4" s="1" t="s">
        <v>29</v>
      </c>
      <c r="E4" s="1"/>
      <c r="F4" s="1" t="s">
        <v>30</v>
      </c>
      <c r="G4" s="1" t="s">
        <v>8</v>
      </c>
      <c r="H4" s="1" t="s">
        <v>50</v>
      </c>
    </row>
    <row r="5" spans="1:9" x14ac:dyDescent="0.25">
      <c r="A5" s="9">
        <v>45505</v>
      </c>
      <c r="B5">
        <v>50</v>
      </c>
      <c r="D5">
        <f t="shared" ref="D5:D6" si="0">B5-C5</f>
        <v>50</v>
      </c>
      <c r="F5" s="22">
        <v>21.54</v>
      </c>
      <c r="G5" s="7">
        <v>6.52</v>
      </c>
      <c r="H5" s="7">
        <f>(D5*F5)+((D5/B5)*G5)</f>
        <v>1083.52</v>
      </c>
    </row>
    <row r="6" spans="1:9" ht="15.75" thickBot="1" x14ac:dyDescent="0.3">
      <c r="A6" s="9">
        <v>45748</v>
      </c>
      <c r="B6">
        <v>75</v>
      </c>
      <c r="D6">
        <f t="shared" si="0"/>
        <v>75</v>
      </c>
      <c r="F6" s="22">
        <v>20.91877551</v>
      </c>
      <c r="G6" s="7">
        <v>1.28</v>
      </c>
      <c r="H6" s="7">
        <f t="shared" ref="H6" si="1">(D6*F6)+((D6/B6)*G6)</f>
        <v>1570.1881632499999</v>
      </c>
    </row>
    <row r="7" spans="1:9" ht="15.75" thickTop="1" x14ac:dyDescent="0.25">
      <c r="A7" s="4" t="s">
        <v>4</v>
      </c>
      <c r="B7" s="4"/>
      <c r="C7" s="4"/>
      <c r="D7" s="4">
        <f>SUM(D5:D6)</f>
        <v>125</v>
      </c>
      <c r="E7" s="4"/>
      <c r="F7" s="4"/>
      <c r="G7" s="14"/>
      <c r="H7" s="14">
        <f>SUM(H5:H6)</f>
        <v>2653.7081632499999</v>
      </c>
      <c r="I7" s="7"/>
    </row>
    <row r="9" spans="1:9" x14ac:dyDescent="0.25">
      <c r="A9" s="2"/>
      <c r="C9" s="20"/>
      <c r="H9" s="3"/>
    </row>
    <row r="10" spans="1:9" x14ac:dyDescent="0.25">
      <c r="A10" s="2"/>
      <c r="H10" s="3"/>
    </row>
    <row r="11" spans="1:9" x14ac:dyDescent="0.25">
      <c r="A11" s="2"/>
      <c r="H11" s="3"/>
    </row>
  </sheetData>
  <printOptions gridLines="1"/>
  <pageMargins left="0.70866141732283472" right="0.70866141732283472" top="0.74803149606299213" bottom="0.74803149606299213" header="0.31496062992125984" footer="0.31496062992125984"/>
  <pageSetup paperSize="9" orientation="landscape"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19D9-BA3F-4524-8A90-00DED5AE0B54}">
  <dimension ref="A1:N21"/>
  <sheetViews>
    <sheetView zoomScale="145" zoomScaleNormal="145" workbookViewId="0"/>
  </sheetViews>
  <sheetFormatPr defaultRowHeight="15" x14ac:dyDescent="0.25"/>
  <cols>
    <col min="1" max="1" width="14.7109375" customWidth="1"/>
    <col min="2" max="3" width="12.7109375" customWidth="1"/>
    <col min="4" max="4" width="14.7109375" customWidth="1"/>
    <col min="5" max="5" width="12.7109375" customWidth="1"/>
    <col min="6" max="8" width="14.7109375" customWidth="1"/>
    <col min="9" max="9" width="12.7109375" customWidth="1"/>
    <col min="10" max="11" width="14.7109375" customWidth="1"/>
    <col min="12" max="12" width="12" bestFit="1" customWidth="1"/>
    <col min="13" max="13" width="14.28515625" bestFit="1" customWidth="1"/>
    <col min="14" max="14" width="10.85546875" customWidth="1"/>
  </cols>
  <sheetData>
    <row r="1" spans="1:14" x14ac:dyDescent="0.25">
      <c r="A1" s="19" t="s">
        <v>5</v>
      </c>
      <c r="B1" s="19"/>
      <c r="C1" s="19"/>
      <c r="D1" s="19"/>
      <c r="E1" s="19"/>
      <c r="F1" s="19"/>
      <c r="G1" s="19"/>
      <c r="H1" s="19"/>
      <c r="I1" s="19"/>
      <c r="J1" s="6" t="s">
        <v>6</v>
      </c>
    </row>
    <row r="3" spans="1:14" x14ac:dyDescent="0.25">
      <c r="A3" s="6" t="s">
        <v>12</v>
      </c>
      <c r="B3" s="6"/>
      <c r="C3" s="6"/>
      <c r="D3" s="6"/>
      <c r="E3" s="6"/>
      <c r="F3" s="6"/>
      <c r="G3" s="6"/>
      <c r="H3" s="6"/>
      <c r="I3" s="6"/>
      <c r="J3" s="6"/>
    </row>
    <row r="4" spans="1:14" x14ac:dyDescent="0.25">
      <c r="A4" s="1" t="s">
        <v>0</v>
      </c>
      <c r="B4" s="1" t="s">
        <v>12</v>
      </c>
      <c r="C4" s="1" t="s">
        <v>11</v>
      </c>
      <c r="D4" s="1" t="s">
        <v>29</v>
      </c>
      <c r="E4" s="1"/>
      <c r="F4" s="1" t="s">
        <v>41</v>
      </c>
      <c r="G4" s="1" t="s">
        <v>8</v>
      </c>
      <c r="H4" s="1" t="s">
        <v>51</v>
      </c>
      <c r="I4" s="1" t="s">
        <v>35</v>
      </c>
      <c r="J4" s="1" t="s">
        <v>52</v>
      </c>
    </row>
    <row r="5" spans="1:14" x14ac:dyDescent="0.25">
      <c r="A5" s="9">
        <v>44629</v>
      </c>
      <c r="B5">
        <v>50</v>
      </c>
      <c r="D5">
        <f>B5-C5</f>
        <v>50</v>
      </c>
      <c r="F5" s="10">
        <v>78.724999999999994</v>
      </c>
      <c r="G5" s="3">
        <v>0.25</v>
      </c>
      <c r="H5" s="3">
        <f>(D5*F5)+((D5/B5)*G5)</f>
        <v>3936.4999999999995</v>
      </c>
      <c r="I5" s="23">
        <v>0.90281999999999996</v>
      </c>
      <c r="J5" s="11">
        <f>H5*I5</f>
        <v>3553.9509299999995</v>
      </c>
      <c r="L5" s="26"/>
      <c r="M5" s="7"/>
      <c r="N5" s="7"/>
    </row>
    <row r="6" spans="1:14" x14ac:dyDescent="0.25">
      <c r="A6" s="9">
        <v>45267</v>
      </c>
      <c r="B6">
        <v>30</v>
      </c>
      <c r="D6">
        <f t="shared" ref="D6:D8" si="0">B6-C6</f>
        <v>30</v>
      </c>
      <c r="F6" s="10">
        <v>82.26</v>
      </c>
      <c r="G6" s="3">
        <v>0.56999999999999995</v>
      </c>
      <c r="H6" s="3">
        <f t="shared" ref="H6:H8" si="1">(D6*F6)+((D6/B6)*G6)</f>
        <v>2468.3700000000003</v>
      </c>
      <c r="I6" s="23">
        <v>0.92645</v>
      </c>
      <c r="J6" s="11">
        <f t="shared" ref="J6:J8" si="2">H6*I6</f>
        <v>2286.8213865000002</v>
      </c>
    </row>
    <row r="7" spans="1:14" x14ac:dyDescent="0.25">
      <c r="A7" s="9">
        <v>45308</v>
      </c>
      <c r="B7">
        <v>20</v>
      </c>
      <c r="D7">
        <f t="shared" si="0"/>
        <v>20</v>
      </c>
      <c r="F7" s="10">
        <v>84.76</v>
      </c>
      <c r="G7" s="3">
        <v>0.28000000000000003</v>
      </c>
      <c r="H7" s="3">
        <f t="shared" si="1"/>
        <v>1695.48</v>
      </c>
      <c r="I7" s="23">
        <v>0.91890000000000005</v>
      </c>
      <c r="J7" s="11">
        <f t="shared" si="2"/>
        <v>1557.976572</v>
      </c>
    </row>
    <row r="8" spans="1:14" ht="15.75" thickBot="1" x14ac:dyDescent="0.3">
      <c r="A8" s="9">
        <v>45358</v>
      </c>
      <c r="B8">
        <v>10</v>
      </c>
      <c r="C8">
        <v>10</v>
      </c>
      <c r="D8">
        <f t="shared" si="0"/>
        <v>0</v>
      </c>
      <c r="F8" s="10">
        <v>89.95</v>
      </c>
      <c r="G8" s="3">
        <v>0.23</v>
      </c>
      <c r="H8" s="3">
        <f t="shared" si="1"/>
        <v>0</v>
      </c>
      <c r="I8" s="23">
        <v>0.91339999999999999</v>
      </c>
      <c r="J8" s="11">
        <f t="shared" si="2"/>
        <v>0</v>
      </c>
    </row>
    <row r="9" spans="1:14" ht="15.75" thickTop="1" x14ac:dyDescent="0.25">
      <c r="A9" s="4" t="s">
        <v>4</v>
      </c>
      <c r="B9" s="4"/>
      <c r="C9" s="4"/>
      <c r="D9" s="4">
        <f>SUM(D5:D8)</f>
        <v>100</v>
      </c>
      <c r="E9" s="4"/>
      <c r="F9" s="4"/>
      <c r="G9" s="5"/>
      <c r="H9" s="5">
        <f>SUM(H5:H8)</f>
        <v>8100.35</v>
      </c>
      <c r="I9" s="5"/>
      <c r="J9" s="13">
        <f>SUM(J5:J8)</f>
        <v>7398.7488885000002</v>
      </c>
    </row>
    <row r="10" spans="1:14" x14ac:dyDescent="0.25">
      <c r="A10" s="2"/>
      <c r="H10" s="3"/>
      <c r="I10" s="3"/>
      <c r="J10" s="3"/>
    </row>
    <row r="11" spans="1:14" x14ac:dyDescent="0.25">
      <c r="H11" s="3"/>
      <c r="I11" s="3"/>
      <c r="J11" s="3"/>
    </row>
    <row r="12" spans="1:14" x14ac:dyDescent="0.25">
      <c r="A12" s="6" t="s">
        <v>11</v>
      </c>
      <c r="B12" s="6"/>
      <c r="C12" s="6"/>
      <c r="D12" s="6"/>
      <c r="E12" s="6"/>
      <c r="F12" s="6"/>
      <c r="G12" s="6"/>
      <c r="H12" s="6"/>
      <c r="I12" s="6"/>
      <c r="J12" s="6"/>
      <c r="K12" s="6"/>
    </row>
    <row r="13" spans="1:14" x14ac:dyDescent="0.25">
      <c r="A13" s="1" t="s">
        <v>0</v>
      </c>
      <c r="B13" s="1" t="s">
        <v>1</v>
      </c>
      <c r="C13" s="1" t="s">
        <v>2</v>
      </c>
      <c r="D13" s="1" t="s">
        <v>8</v>
      </c>
      <c r="E13" s="1"/>
      <c r="F13" s="1" t="s">
        <v>65</v>
      </c>
      <c r="G13" s="1" t="s">
        <v>51</v>
      </c>
      <c r="H13" s="1" t="s">
        <v>66</v>
      </c>
      <c r="I13" s="1" t="s">
        <v>35</v>
      </c>
      <c r="J13" s="1" t="s">
        <v>67</v>
      </c>
      <c r="K13" s="1" t="s">
        <v>56</v>
      </c>
    </row>
    <row r="14" spans="1:14" ht="15.75" thickBot="1" x14ac:dyDescent="0.3">
      <c r="A14" s="9">
        <v>45748</v>
      </c>
      <c r="B14">
        <v>10</v>
      </c>
      <c r="C14" s="3">
        <v>95.21</v>
      </c>
      <c r="D14" s="3">
        <v>0.38</v>
      </c>
      <c r="E14" s="3"/>
      <c r="F14" s="3">
        <f>B14*C14</f>
        <v>952.09999999999991</v>
      </c>
      <c r="G14" s="25">
        <f>(B14*F5)+((B14/B5)*G5)</f>
        <v>787.3</v>
      </c>
      <c r="H14" s="25">
        <f>F14-G14-D14</f>
        <v>164.41999999999996</v>
      </c>
      <c r="I14">
        <v>0.94742999999999999</v>
      </c>
      <c r="J14" s="11">
        <f>H14*I14</f>
        <v>155.77644059999997</v>
      </c>
      <c r="K14" s="9">
        <v>45358</v>
      </c>
    </row>
    <row r="15" spans="1:14" ht="15.75" thickTop="1" x14ac:dyDescent="0.25">
      <c r="A15" s="12" t="s">
        <v>4</v>
      </c>
      <c r="B15" s="4"/>
      <c r="C15" s="5"/>
      <c r="D15" s="5"/>
      <c r="E15" s="5"/>
      <c r="F15" s="5"/>
      <c r="G15" s="5"/>
      <c r="H15" s="21"/>
      <c r="I15" s="21"/>
      <c r="J15" s="14">
        <f>SUM(J14)</f>
        <v>155.77644059999997</v>
      </c>
      <c r="K15" s="5"/>
    </row>
    <row r="16" spans="1:14" x14ac:dyDescent="0.25">
      <c r="A16" s="2"/>
      <c r="G16" s="3"/>
      <c r="H16" s="3"/>
      <c r="I16" s="3"/>
      <c r="J16" s="3"/>
      <c r="N16" s="7"/>
    </row>
    <row r="17" spans="1:13" x14ac:dyDescent="0.25">
      <c r="A17" s="1"/>
      <c r="B17" s="1"/>
      <c r="C17" s="1"/>
      <c r="D17" s="1"/>
      <c r="E17" s="1"/>
      <c r="F17" s="1"/>
      <c r="G17" s="1"/>
      <c r="H17" s="1"/>
      <c r="I17" s="1"/>
      <c r="J17" s="1"/>
    </row>
    <row r="18" spans="1:13" x14ac:dyDescent="0.25">
      <c r="D18" s="3"/>
      <c r="L18" s="7"/>
    </row>
    <row r="19" spans="1:13" x14ac:dyDescent="0.25">
      <c r="H19" s="3"/>
    </row>
    <row r="20" spans="1:13" x14ac:dyDescent="0.25">
      <c r="C20" s="3"/>
      <c r="F20" s="3"/>
      <c r="M20" s="7"/>
    </row>
    <row r="21" spans="1:13" x14ac:dyDescent="0.25">
      <c r="G21" s="3"/>
    </row>
  </sheetData>
  <printOptions gridLines="1"/>
  <pageMargins left="0.70866141732283472" right="0.70866141732283472" top="0.74803149606299213" bottom="0.74803149606299213" header="0.31496062992125984" footer="0.31496062992125984"/>
  <pageSetup paperSize="9" orientation="landscape"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Portfolio</vt:lpstr>
      <vt:lpstr>Memoriaal</vt:lpstr>
      <vt:lpstr>VAGE</vt:lpstr>
      <vt:lpstr>AVUV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2025-08-31T06:11:22Z</dcterms:created>
  <dcterms:modified xsi:type="dcterms:W3CDTF">2025-08-31T06:14:59Z</dcterms:modified>
</cp:coreProperties>
</file>