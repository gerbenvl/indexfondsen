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SPDR/"/>
    </mc:Choice>
  </mc:AlternateContent>
  <xr:revisionPtr revIDLastSave="991" documentId="8_{F0B8999D-9BF9-463A-A515-6683C4D9B0FF}" xr6:coauthVersionLast="47" xr6:coauthVersionMax="47" xr10:uidLastSave="{0450E012-EABD-4E0B-B330-9DA5B3CD00D3}"/>
  <bookViews>
    <workbookView xWindow="-105" yWindow="0" windowWidth="26010" windowHeight="20985" activeTab="1" xr2:uid="{CB9E69B2-3CC2-4CB8-BB0A-750BABFBC08D}"/>
  </bookViews>
  <sheets>
    <sheet name="SWRD" sheetId="2" r:id="rId1"/>
    <sheet name="ZPRV" sheetId="1" r:id="rId2"/>
    <sheet name="ZPRX" sheetId="5" r:id="rId3"/>
    <sheet name="SPYI" sheetId="6" r:id="rId4"/>
    <sheet name="SPYY" sheetId="7" r:id="rId5"/>
    <sheet name="TrackingDiff" sheetId="3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9" i="3" l="1"/>
  <c r="H29" i="3"/>
  <c r="I29" i="3"/>
  <c r="J29" i="3"/>
  <c r="K29" i="3"/>
  <c r="L29" i="3"/>
  <c r="G29" i="3"/>
  <c r="G28" i="3"/>
  <c r="N28" i="3"/>
  <c r="L28" i="3"/>
  <c r="G22" i="3"/>
  <c r="H22" i="3"/>
  <c r="I22" i="3"/>
  <c r="J22" i="3"/>
  <c r="K22" i="3"/>
  <c r="N22" i="3"/>
  <c r="H28" i="3"/>
  <c r="I28" i="3"/>
  <c r="J28" i="3"/>
  <c r="K28" i="3"/>
  <c r="B12" i="7"/>
  <c r="C12" i="7"/>
  <c r="D12" i="7"/>
  <c r="E12" i="7"/>
  <c r="F12" i="7"/>
  <c r="G12" i="7"/>
  <c r="I12" i="7"/>
  <c r="C12" i="6"/>
  <c r="D12" i="6"/>
  <c r="E12" i="6"/>
  <c r="F12" i="6"/>
  <c r="G12" i="6"/>
  <c r="B12" i="6"/>
  <c r="F8" i="6"/>
  <c r="F15" i="6"/>
  <c r="G8" i="6"/>
  <c r="G15" i="6"/>
  <c r="E22" i="6"/>
  <c r="F8" i="7"/>
  <c r="F15" i="7"/>
  <c r="G6" i="7"/>
  <c r="G8" i="7"/>
  <c r="G15" i="7"/>
  <c r="E22" i="7"/>
  <c r="E8" i="7"/>
  <c r="E15" i="7"/>
  <c r="E8" i="6"/>
  <c r="E15" i="6"/>
  <c r="C17" i="3"/>
  <c r="D17" i="3"/>
  <c r="E17" i="3"/>
  <c r="F17" i="3"/>
  <c r="G17" i="3"/>
  <c r="H17" i="3"/>
  <c r="I17" i="3"/>
  <c r="N17" i="3"/>
  <c r="C11" i="3"/>
  <c r="D11" i="3"/>
  <c r="E11" i="3"/>
  <c r="F11" i="3"/>
  <c r="G11" i="3"/>
  <c r="H11" i="3"/>
  <c r="I11" i="3"/>
  <c r="N11" i="3"/>
  <c r="I29" i="5"/>
  <c r="I29" i="1"/>
  <c r="A26" i="2"/>
  <c r="G29" i="5"/>
  <c r="E29" i="5"/>
  <c r="C29" i="5"/>
  <c r="H28" i="5"/>
  <c r="G28" i="5"/>
  <c r="F28" i="5"/>
  <c r="E28" i="5"/>
  <c r="D28" i="5"/>
  <c r="C28" i="5"/>
  <c r="B28" i="5"/>
  <c r="A28" i="5"/>
  <c r="H27" i="5"/>
  <c r="G27" i="5"/>
  <c r="F27" i="5"/>
  <c r="E27" i="5"/>
  <c r="D27" i="5"/>
  <c r="C27" i="5"/>
  <c r="B27" i="5"/>
  <c r="A27" i="5"/>
  <c r="H26" i="5"/>
  <c r="H29" i="5"/>
  <c r="G26" i="5"/>
  <c r="F26" i="5"/>
  <c r="F29" i="5"/>
  <c r="E26" i="5"/>
  <c r="D26" i="5"/>
  <c r="D29" i="5"/>
  <c r="C26" i="5"/>
  <c r="B26" i="5"/>
  <c r="B29" i="5"/>
  <c r="A26" i="5"/>
  <c r="H25" i="5"/>
  <c r="G25" i="5"/>
  <c r="F25" i="5"/>
  <c r="E25" i="5"/>
  <c r="D25" i="5"/>
  <c r="C25" i="5"/>
  <c r="B25" i="5"/>
  <c r="C29" i="1"/>
  <c r="D29" i="1"/>
  <c r="E29" i="1"/>
  <c r="F29" i="1"/>
  <c r="G29" i="1"/>
  <c r="H29" i="1"/>
  <c r="B29" i="1"/>
  <c r="C28" i="1"/>
  <c r="D28" i="1"/>
  <c r="E28" i="1"/>
  <c r="F28" i="1"/>
  <c r="G28" i="1"/>
  <c r="H28" i="1"/>
  <c r="B28" i="1"/>
  <c r="C27" i="1"/>
  <c r="D27" i="1"/>
  <c r="E27" i="1"/>
  <c r="F27" i="1"/>
  <c r="G27" i="1"/>
  <c r="H27" i="1"/>
  <c r="B27" i="1"/>
  <c r="C26" i="1"/>
  <c r="D26" i="1"/>
  <c r="E26" i="1"/>
  <c r="F26" i="1"/>
  <c r="G26" i="1"/>
  <c r="H26" i="1"/>
  <c r="B26" i="1"/>
  <c r="C25" i="1"/>
  <c r="D25" i="1"/>
  <c r="E25" i="1"/>
  <c r="F25" i="1"/>
  <c r="G25" i="1"/>
  <c r="H25" i="1"/>
  <c r="B25" i="1"/>
  <c r="A28" i="1"/>
  <c r="A27" i="1"/>
  <c r="A26" i="1"/>
  <c r="D26" i="2"/>
  <c r="E26" i="2"/>
  <c r="C26" i="2"/>
  <c r="J17" i="1"/>
  <c r="J14" i="1"/>
  <c r="H17" i="1"/>
  <c r="H14" i="1"/>
  <c r="H13" i="1"/>
  <c r="H12" i="1"/>
  <c r="H8" i="1"/>
  <c r="H17" i="5"/>
  <c r="H14" i="5"/>
  <c r="H13" i="5"/>
  <c r="H12" i="5"/>
  <c r="H8" i="5"/>
  <c r="A29" i="2"/>
  <c r="A28" i="2"/>
  <c r="C27" i="2"/>
  <c r="D27" i="2"/>
  <c r="D30" i="2"/>
  <c r="E27" i="2"/>
  <c r="A27" i="2"/>
  <c r="D17" i="2"/>
  <c r="D29" i="2"/>
  <c r="D12" i="2"/>
  <c r="E12" i="2"/>
  <c r="D8" i="2"/>
  <c r="D13" i="2"/>
  <c r="D28" i="2"/>
  <c r="E8" i="2"/>
  <c r="E17" i="2"/>
  <c r="E29" i="2"/>
  <c r="G7" i="2"/>
  <c r="H5" i="3"/>
  <c r="H6" i="3"/>
  <c r="G14" i="5"/>
  <c r="C12" i="5"/>
  <c r="D12" i="5"/>
  <c r="E12" i="5"/>
  <c r="F12" i="5"/>
  <c r="G12" i="5"/>
  <c r="B12" i="5"/>
  <c r="C8" i="5"/>
  <c r="C13" i="5"/>
  <c r="D8" i="5"/>
  <c r="D13" i="5"/>
  <c r="E8" i="5"/>
  <c r="E14" i="5"/>
  <c r="F8" i="5"/>
  <c r="F17" i="5"/>
  <c r="G8" i="5"/>
  <c r="G13" i="5"/>
  <c r="C8" i="1"/>
  <c r="C17" i="1"/>
  <c r="D8" i="1"/>
  <c r="D17" i="1"/>
  <c r="E8" i="1"/>
  <c r="E17" i="1"/>
  <c r="F8" i="1"/>
  <c r="F17" i="1"/>
  <c r="G8" i="1"/>
  <c r="G17" i="1"/>
  <c r="C12" i="1"/>
  <c r="D12" i="1"/>
  <c r="E12" i="1"/>
  <c r="F12" i="1"/>
  <c r="G12" i="1"/>
  <c r="B12" i="1"/>
  <c r="J12" i="1"/>
  <c r="B8" i="1"/>
  <c r="B17" i="1"/>
  <c r="B8" i="5"/>
  <c r="B17" i="5"/>
  <c r="D17" i="5"/>
  <c r="E17" i="5"/>
  <c r="G17" i="5"/>
  <c r="B20" i="1"/>
  <c r="J12" i="5"/>
  <c r="C14" i="5"/>
  <c r="C17" i="5"/>
  <c r="J17" i="5"/>
  <c r="D14" i="5"/>
  <c r="G13" i="1"/>
  <c r="C13" i="1"/>
  <c r="E13" i="2"/>
  <c r="E28" i="2"/>
  <c r="E30" i="2"/>
  <c r="E14" i="1"/>
  <c r="F13" i="1"/>
  <c r="B14" i="1"/>
  <c r="D14" i="1"/>
  <c r="E13" i="1"/>
  <c r="G14" i="1"/>
  <c r="C14" i="1"/>
  <c r="B13" i="1"/>
  <c r="D13" i="1"/>
  <c r="F14" i="1"/>
  <c r="F13" i="5"/>
  <c r="E13" i="5"/>
  <c r="B13" i="5"/>
  <c r="F14" i="5"/>
  <c r="B14" i="5"/>
  <c r="C12" i="2"/>
  <c r="B12" i="2"/>
  <c r="G6" i="3"/>
  <c r="O6" i="3"/>
  <c r="G5" i="3"/>
  <c r="N5" i="3"/>
  <c r="B21" i="2"/>
  <c r="J13" i="5"/>
  <c r="J13" i="1"/>
  <c r="J14" i="5"/>
  <c r="B20" i="5"/>
  <c r="C8" i="2"/>
  <c r="C13" i="2"/>
  <c r="G13" i="2"/>
  <c r="C28" i="2"/>
  <c r="C17" i="2"/>
  <c r="C29" i="2"/>
  <c r="C30" i="2"/>
  <c r="G17" i="2"/>
  <c r="B20" i="2"/>
  <c r="B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Gerben</author>
  </authors>
  <commentList>
    <comment ref="N1" authorId="0" shapeId="0" xr:uid="{037CF0A5-8A77-4058-828B-8C964D69D56D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Tracking Difference</t>
        </r>
      </text>
    </comment>
    <comment ref="O1" authorId="0" shapeId="0" xr:uid="{D86604A5-7F37-43DE-A45A-81031088F21C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Outperformance Netto Index</t>
        </r>
      </text>
    </comment>
  </commentList>
</comments>
</file>

<file path=xl/sharedStrings.xml><?xml version="1.0" encoding="utf-8"?>
<sst xmlns="http://schemas.openxmlformats.org/spreadsheetml/2006/main" count="115" uniqueCount="60">
  <si>
    <t>TER</t>
  </si>
  <si>
    <t>Transaction costs</t>
  </si>
  <si>
    <t>Transaction costs %</t>
  </si>
  <si>
    <t>Operating Expenses</t>
  </si>
  <si>
    <t>Operating expense (TER)</t>
  </si>
  <si>
    <t>Dividend income</t>
  </si>
  <si>
    <t>Taxation</t>
  </si>
  <si>
    <t>Tracking difference</t>
  </si>
  <si>
    <t>SPDR MSCI World UCITS ETF</t>
  </si>
  <si>
    <t>TD</t>
  </si>
  <si>
    <t>OPNI</t>
  </si>
  <si>
    <t>Vs gross</t>
  </si>
  <si>
    <t>Vs net</t>
  </si>
  <si>
    <t>bookyear differs from calendar year!</t>
  </si>
  <si>
    <t>started 02-2019</t>
  </si>
  <si>
    <t>Net asset value end of bookyear</t>
  </si>
  <si>
    <t>Average AUM</t>
  </si>
  <si>
    <t>% transaction costs</t>
  </si>
  <si>
    <t>Costs in the past</t>
  </si>
  <si>
    <t>Diff</t>
  </si>
  <si>
    <t>AVG</t>
  </si>
  <si>
    <t>Remarks</t>
  </si>
  <si>
    <t>SPDR MSCI USA Small Cap Value Weighted UCITS ETF (ZPRV)</t>
  </si>
  <si>
    <t>02-2015 started</t>
  </si>
  <si>
    <t>AUM end of bookyear</t>
  </si>
  <si>
    <t>Foreign Withholding Tax</t>
  </si>
  <si>
    <t>Dividend leakage</t>
  </si>
  <si>
    <t>SPDR MSCI Europe Small Cap Value Weighted UCITS ETF (ZPRX)</t>
  </si>
  <si>
    <t>% dividend</t>
  </si>
  <si>
    <t>% dividend leakage costs</t>
  </si>
  <si>
    <t>18% dividend leakage in the US? Should be 15%</t>
  </si>
  <si>
    <t>Weird average UAM in 2018</t>
  </si>
  <si>
    <t>Average costs in the past</t>
  </si>
  <si>
    <t>SWRD</t>
  </si>
  <si>
    <t>Total</t>
  </si>
  <si>
    <t>Index turnover</t>
  </si>
  <si>
    <t>ZPRV</t>
  </si>
  <si>
    <t>ZPRX</t>
  </si>
  <si>
    <t>MSCI Europe Small Cap Value Weighted Gross</t>
  </si>
  <si>
    <t>MSCI WORLD INDEX (USD) Gross</t>
  </si>
  <si>
    <t>MSCI WORLD INDEX (USD) Net</t>
  </si>
  <si>
    <t>MSCI USA Small Cap Value Weighted</t>
  </si>
  <si>
    <t>TER reported</t>
  </si>
  <si>
    <t>Net asset value end of year</t>
  </si>
  <si>
    <t>Average assets via management fee</t>
  </si>
  <si>
    <t>Securities lending income</t>
  </si>
  <si>
    <t>% lending income</t>
  </si>
  <si>
    <t>KID % transaction costs</t>
  </si>
  <si>
    <t>Estimated future costs</t>
  </si>
  <si>
    <t>Lending</t>
  </si>
  <si>
    <t>SPDR MSCI All Country World Investable Market UCITS ETF Acc (SPYI)</t>
  </si>
  <si>
    <t>financial year ended 31 March</t>
  </si>
  <si>
    <t>SPDR MSCI All Country World UCITS ETF Acc (SPYY)</t>
  </si>
  <si>
    <t>0,40% to 0,12%</t>
  </si>
  <si>
    <t>The TER of SPDR MSCI ACWI IMI UCITS ETF changed from 0.40% to 0.17% effective 3 April 2023.</t>
  </si>
  <si>
    <t>TER reductions became effective as at 1 August 2024</t>
  </si>
  <si>
    <t>SPYI</t>
  </si>
  <si>
    <t>SPYY</t>
  </si>
  <si>
    <t>Gross index</t>
  </si>
  <si>
    <t>Net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</si>
</sst>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€&quot;\ #,##0;[Red]&quot;€&quot;\ \-#,##0"/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 * #,##0_ ;_ * \-#,##0_ ;_ * &quot;-&quot;??_ ;_ @_ "/>
    <numFmt numFmtId="165" formatCode="_ &quot;€&quot;\ * #,##0_ ;_ &quot;€&quot;\ * \-#,##0_ ;_ &quot;€&quot;\ * &quot;-&quot;??_ ;_ @_ "/>
    <numFmt numFmtId="166" formatCode="0.0%"/>
    <numFmt numFmtId="167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10" fontId="0" fillId="0" borderId="0" xfId="0" applyNumberFormat="1"/>
    <xf numFmtId="164" fontId="0" fillId="0" borderId="0" xfId="1" applyNumberFormat="1" applyFont="1"/>
    <xf numFmtId="10" fontId="0" fillId="0" borderId="0" xfId="2" applyNumberFormat="1" applyFont="1"/>
    <xf numFmtId="6" fontId="0" fillId="0" borderId="0" xfId="0" applyNumberFormat="1"/>
    <xf numFmtId="165" fontId="0" fillId="0" borderId="0" xfId="3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/>
    <xf numFmtId="0" fontId="5" fillId="0" borderId="0" xfId="0" applyFont="1"/>
    <xf numFmtId="9" fontId="0" fillId="0" borderId="0" xfId="2" applyFont="1"/>
    <xf numFmtId="0" fontId="2" fillId="2" borderId="0" xfId="0" applyFont="1" applyFill="1"/>
    <xf numFmtId="0" fontId="0" fillId="2" borderId="0" xfId="0" applyFill="1"/>
    <xf numFmtId="166" fontId="0" fillId="0" borderId="0" xfId="2" applyNumberFormat="1" applyFont="1"/>
    <xf numFmtId="167" fontId="0" fillId="0" borderId="0" xfId="2" applyNumberFormat="1" applyFont="1"/>
    <xf numFmtId="2" fontId="0" fillId="0" borderId="0" xfId="0" applyNumberFormat="1"/>
    <xf numFmtId="165" fontId="1" fillId="0" borderId="0" xfId="3" applyNumberFormat="1" applyFont="1" applyFill="1"/>
    <xf numFmtId="165" fontId="0" fillId="0" borderId="0" xfId="3" applyNumberFormat="1" applyFont="1" applyFill="1"/>
    <xf numFmtId="10" fontId="1" fillId="0" borderId="0" xfId="2" applyNumberFormat="1" applyFont="1" applyFill="1"/>
    <xf numFmtId="10" fontId="0" fillId="0" borderId="0" xfId="2" applyNumberFormat="1" applyFont="1" applyFill="1"/>
    <xf numFmtId="167" fontId="1" fillId="0" borderId="0" xfId="2" applyNumberFormat="1" applyFont="1" applyFill="1"/>
    <xf numFmtId="167" fontId="2" fillId="0" borderId="0" xfId="0" applyNumberFormat="1" applyFont="1"/>
    <xf numFmtId="43" fontId="0" fillId="0" borderId="0" xfId="1" applyFont="1"/>
    <xf numFmtId="167" fontId="0" fillId="0" borderId="0" xfId="0" applyNumberFormat="1"/>
    <xf numFmtId="165" fontId="0" fillId="0" borderId="0" xfId="0" applyNumberFormat="1"/>
    <xf numFmtId="10" fontId="2" fillId="0" borderId="0" xfId="0" applyNumberFormat="1" applyFont="1"/>
    <xf numFmtId="166" fontId="0" fillId="0" borderId="0" xfId="0" applyNumberForma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1F0C-0F64-4101-9A89-7B1897C91153}">
  <dimension ref="A2:I30"/>
  <sheetViews>
    <sheetView workbookViewId="0">
      <selection activeCell="C45" sqref="C45"/>
    </sheetView>
  </sheetViews>
  <sheetFormatPr defaultRowHeight="15" x14ac:dyDescent="0.25"/>
  <cols>
    <col min="1" max="1" width="30.28515625" bestFit="1" customWidth="1"/>
    <col min="2" max="2" width="15.42578125" customWidth="1"/>
    <col min="3" max="6" width="15.85546875" customWidth="1"/>
    <col min="7" max="7" width="12" bestFit="1" customWidth="1"/>
    <col min="9" max="9" width="42.42578125" customWidth="1"/>
  </cols>
  <sheetData>
    <row r="2" spans="1:9" x14ac:dyDescent="0.25">
      <c r="A2" s="1" t="s">
        <v>8</v>
      </c>
    </row>
    <row r="3" spans="1:9" x14ac:dyDescent="0.25">
      <c r="A3" t="s">
        <v>14</v>
      </c>
    </row>
    <row r="4" spans="1:9" x14ac:dyDescent="0.25">
      <c r="B4" s="1">
        <v>2019</v>
      </c>
      <c r="C4" s="1">
        <v>2020</v>
      </c>
      <c r="D4" s="1">
        <v>2021</v>
      </c>
      <c r="E4" s="1">
        <v>2022</v>
      </c>
      <c r="F4" s="1"/>
      <c r="G4" s="1" t="s">
        <v>20</v>
      </c>
      <c r="I4" t="s">
        <v>13</v>
      </c>
    </row>
    <row r="5" spans="1:9" x14ac:dyDescent="0.25">
      <c r="A5" t="s">
        <v>15</v>
      </c>
      <c r="B5" s="6">
        <v>318392294</v>
      </c>
      <c r="C5" s="6">
        <v>129213578</v>
      </c>
      <c r="D5" s="5">
        <v>743807270</v>
      </c>
      <c r="E5" s="5">
        <v>1444937436</v>
      </c>
      <c r="F5" s="5"/>
    </row>
    <row r="6" spans="1:9" x14ac:dyDescent="0.25">
      <c r="A6" t="s">
        <v>4</v>
      </c>
      <c r="B6" s="6"/>
      <c r="C6" s="6">
        <v>352819</v>
      </c>
      <c r="D6" s="5">
        <v>453811</v>
      </c>
      <c r="E6" s="5">
        <v>1388227</v>
      </c>
      <c r="F6" s="5"/>
    </row>
    <row r="7" spans="1:9" x14ac:dyDescent="0.25">
      <c r="A7" t="s">
        <v>0</v>
      </c>
      <c r="B7" s="2">
        <v>1.1999999999999999E-3</v>
      </c>
      <c r="C7" s="2">
        <v>1.1999999999999999E-3</v>
      </c>
      <c r="D7" s="2">
        <v>1.1999999999999999E-3</v>
      </c>
      <c r="E7" s="2">
        <v>1.1999999999999999E-3</v>
      </c>
      <c r="F7" s="2"/>
      <c r="G7" s="2">
        <f>AVERAGE(B7:E7)</f>
        <v>1.1999999999999999E-3</v>
      </c>
    </row>
    <row r="8" spans="1:9" x14ac:dyDescent="0.25">
      <c r="A8" t="s">
        <v>16</v>
      </c>
      <c r="B8" s="6"/>
      <c r="C8" s="6">
        <f>C6/C7</f>
        <v>294015833.33333337</v>
      </c>
      <c r="D8" s="6">
        <f t="shared" ref="D8:E8" si="0">D6/D7</f>
        <v>378175833.33333337</v>
      </c>
      <c r="E8" s="6">
        <f t="shared" si="0"/>
        <v>1156855833.3333335</v>
      </c>
      <c r="F8" s="5"/>
    </row>
    <row r="10" spans="1:9" x14ac:dyDescent="0.25">
      <c r="A10" t="s">
        <v>5</v>
      </c>
      <c r="B10" s="6">
        <v>1004942</v>
      </c>
      <c r="C10" s="6">
        <v>7032455</v>
      </c>
      <c r="D10" s="5">
        <v>7304759</v>
      </c>
      <c r="E10" s="5">
        <v>20970311</v>
      </c>
      <c r="F10" s="5"/>
    </row>
    <row r="11" spans="1:9" x14ac:dyDescent="0.25">
      <c r="A11" t="s">
        <v>6</v>
      </c>
      <c r="B11" s="6">
        <v>135108</v>
      </c>
      <c r="C11" s="6">
        <v>928867</v>
      </c>
      <c r="D11" s="5">
        <v>976724</v>
      </c>
      <c r="E11" s="5">
        <v>2665046</v>
      </c>
      <c r="F11" s="5"/>
    </row>
    <row r="12" spans="1:9" x14ac:dyDescent="0.25">
      <c r="A12" t="s">
        <v>28</v>
      </c>
      <c r="B12" s="13">
        <f>B11/B10</f>
        <v>0.13444357982848762</v>
      </c>
      <c r="C12" s="13">
        <f>C11/C10</f>
        <v>0.13208289281623559</v>
      </c>
      <c r="D12" s="13">
        <f t="shared" ref="D12:E12" si="1">D11/D10</f>
        <v>0.13371063987189721</v>
      </c>
      <c r="E12" s="13">
        <f t="shared" si="1"/>
        <v>0.12708662260659845</v>
      </c>
      <c r="F12" s="2"/>
      <c r="G12" s="2"/>
    </row>
    <row r="13" spans="1:9" x14ac:dyDescent="0.25">
      <c r="A13" t="s">
        <v>29</v>
      </c>
      <c r="C13" s="2">
        <f>C11/C8</f>
        <v>3.1592414240729661E-3</v>
      </c>
      <c r="D13" s="2">
        <f t="shared" ref="D13:E13" si="2">D11/D8</f>
        <v>2.5827245262895785E-3</v>
      </c>
      <c r="E13" s="2">
        <f t="shared" si="2"/>
        <v>2.3036975941254562E-3</v>
      </c>
      <c r="F13" s="2"/>
      <c r="G13" s="2">
        <f>AVERAGE(B13:E13)</f>
        <v>2.6818878481626673E-3</v>
      </c>
    </row>
    <row r="16" spans="1:9" x14ac:dyDescent="0.25">
      <c r="A16" t="s">
        <v>1</v>
      </c>
      <c r="B16" s="6">
        <v>144398</v>
      </c>
      <c r="C16" s="6">
        <v>160137</v>
      </c>
      <c r="D16" s="5">
        <v>196947</v>
      </c>
      <c r="E16" s="5">
        <v>257179</v>
      </c>
      <c r="F16" s="5"/>
    </row>
    <row r="17" spans="1:7" x14ac:dyDescent="0.25">
      <c r="A17" t="s">
        <v>17</v>
      </c>
      <c r="C17" s="2">
        <f>C16/C8</f>
        <v>5.4465434117777092E-4</v>
      </c>
      <c r="D17" s="2">
        <f t="shared" ref="D17:E17" si="3">D16/D8</f>
        <v>5.2078155884277815E-4</v>
      </c>
      <c r="E17" s="2">
        <f t="shared" si="3"/>
        <v>2.2230859938612342E-4</v>
      </c>
      <c r="F17" s="2"/>
      <c r="G17" s="2">
        <f>AVERAGE(B17:E17)</f>
        <v>4.2924816646889083E-4</v>
      </c>
    </row>
    <row r="20" spans="1:7" x14ac:dyDescent="0.25">
      <c r="A20" t="s">
        <v>18</v>
      </c>
      <c r="B20" s="2">
        <f>G7+G13+G17</f>
        <v>4.3111360146315583E-3</v>
      </c>
    </row>
    <row r="21" spans="1:7" x14ac:dyDescent="0.25">
      <c r="A21" t="s">
        <v>7</v>
      </c>
      <c r="B21" s="4">
        <f>TrackingDiff!N5/100</f>
        <v>5.3000000000000026E-3</v>
      </c>
    </row>
    <row r="22" spans="1:7" x14ac:dyDescent="0.25">
      <c r="A22" t="s">
        <v>19</v>
      </c>
      <c r="B22" s="2">
        <f>B20-B21</f>
        <v>-9.8886398536844437E-4</v>
      </c>
    </row>
    <row r="26" spans="1:7" x14ac:dyDescent="0.25">
      <c r="A26" s="1" t="str">
        <f>A2</f>
        <v>SPDR MSCI World UCITS ETF</v>
      </c>
      <c r="B26" s="4"/>
      <c r="C26" s="1">
        <f>C4</f>
        <v>2020</v>
      </c>
      <c r="D26" s="1">
        <f t="shared" ref="D26:E26" si="4">D4</f>
        <v>2021</v>
      </c>
      <c r="E26" s="1">
        <f t="shared" si="4"/>
        <v>2022</v>
      </c>
    </row>
    <row r="27" spans="1:7" x14ac:dyDescent="0.25">
      <c r="A27" t="str">
        <f>A7</f>
        <v>TER</v>
      </c>
      <c r="B27" s="4"/>
      <c r="C27" s="4">
        <f>C7</f>
        <v>1.1999999999999999E-3</v>
      </c>
      <c r="D27" s="4">
        <f>D7</f>
        <v>1.1999999999999999E-3</v>
      </c>
      <c r="E27" s="4">
        <f>E7</f>
        <v>1.1999999999999999E-3</v>
      </c>
    </row>
    <row r="28" spans="1:7" x14ac:dyDescent="0.25">
      <c r="A28" t="str">
        <f>A13</f>
        <v>% dividend leakage costs</v>
      </c>
      <c r="B28" s="4"/>
      <c r="C28" s="4">
        <f t="shared" ref="C28:E28" si="5">C13</f>
        <v>3.1592414240729661E-3</v>
      </c>
      <c r="D28" s="4">
        <f t="shared" si="5"/>
        <v>2.5827245262895785E-3</v>
      </c>
      <c r="E28" s="4">
        <f t="shared" si="5"/>
        <v>2.3036975941254562E-3</v>
      </c>
    </row>
    <row r="29" spans="1:7" x14ac:dyDescent="0.25">
      <c r="A29" t="str">
        <f>A17</f>
        <v>% transaction costs</v>
      </c>
      <c r="B29" s="4"/>
      <c r="C29" s="4">
        <f t="shared" ref="C29:E29" si="6">C17</f>
        <v>5.4465434117777092E-4</v>
      </c>
      <c r="D29" s="4">
        <f t="shared" si="6"/>
        <v>5.2078155884277815E-4</v>
      </c>
      <c r="E29" s="4">
        <f t="shared" si="6"/>
        <v>2.2230859938612342E-4</v>
      </c>
    </row>
    <row r="30" spans="1:7" x14ac:dyDescent="0.25">
      <c r="A30" t="s">
        <v>34</v>
      </c>
      <c r="B30" s="2"/>
      <c r="C30" s="2">
        <f t="shared" ref="C30:E30" si="7">SUM(C27:C29)</f>
        <v>4.903895765250737E-3</v>
      </c>
      <c r="D30" s="2">
        <f t="shared" si="7"/>
        <v>4.3035060851323564E-3</v>
      </c>
      <c r="E30" s="2">
        <f t="shared" si="7"/>
        <v>3.7260061935115796E-3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07D5-EEB2-41AB-8623-15D282634442}">
  <dimension ref="A2:L29"/>
  <sheetViews>
    <sheetView tabSelected="1" workbookViewId="0"/>
  </sheetViews>
  <sheetFormatPr defaultRowHeight="15" x14ac:dyDescent="0.25"/>
  <cols>
    <col min="1" max="1" width="25.28515625" customWidth="1"/>
    <col min="2" max="8" width="14.7109375" customWidth="1"/>
  </cols>
  <sheetData>
    <row r="2" spans="1:12" x14ac:dyDescent="0.25">
      <c r="A2" s="14" t="s">
        <v>22</v>
      </c>
      <c r="B2" s="15"/>
      <c r="C2" s="15"/>
      <c r="D2" s="15"/>
      <c r="E2" s="15"/>
      <c r="F2" s="15"/>
      <c r="G2" s="15"/>
      <c r="H2" s="15"/>
      <c r="I2" s="15"/>
      <c r="J2" s="15"/>
      <c r="L2" t="s">
        <v>21</v>
      </c>
    </row>
    <row r="3" spans="1:12" x14ac:dyDescent="0.25">
      <c r="A3" t="s">
        <v>23</v>
      </c>
    </row>
    <row r="4" spans="1:12" x14ac:dyDescent="0.25">
      <c r="A4" s="1"/>
      <c r="B4" s="1">
        <v>2016</v>
      </c>
      <c r="C4" s="1">
        <v>2017</v>
      </c>
      <c r="D4" s="1">
        <v>2018</v>
      </c>
      <c r="E4" s="1">
        <v>2019</v>
      </c>
      <c r="F4" s="1">
        <v>2020</v>
      </c>
      <c r="G4" s="1">
        <v>2021</v>
      </c>
      <c r="H4" s="1">
        <v>2022</v>
      </c>
      <c r="J4" s="1" t="s">
        <v>20</v>
      </c>
      <c r="L4" t="s">
        <v>51</v>
      </c>
    </row>
    <row r="5" spans="1:12" x14ac:dyDescent="0.25">
      <c r="A5" t="s">
        <v>24</v>
      </c>
      <c r="B5" s="3">
        <v>16620593</v>
      </c>
      <c r="C5" s="3">
        <v>77862695</v>
      </c>
      <c r="D5" s="3">
        <v>107364502</v>
      </c>
      <c r="E5" s="3">
        <v>35992810</v>
      </c>
      <c r="F5" s="3">
        <v>21266136</v>
      </c>
      <c r="G5" s="3">
        <v>209666872</v>
      </c>
      <c r="H5" s="3">
        <v>350309639</v>
      </c>
      <c r="L5" t="s">
        <v>30</v>
      </c>
    </row>
    <row r="6" spans="1:12" x14ac:dyDescent="0.25">
      <c r="A6" t="s">
        <v>0</v>
      </c>
      <c r="B6" s="2">
        <v>3.0000000000000001E-3</v>
      </c>
      <c r="C6" s="2">
        <v>3.0000000000000001E-3</v>
      </c>
      <c r="D6" s="2">
        <v>3.0000000000000001E-3</v>
      </c>
      <c r="E6" s="2">
        <v>3.0000000000000001E-3</v>
      </c>
      <c r="F6" s="2">
        <v>3.0000000000000001E-3</v>
      </c>
      <c r="G6" s="2">
        <v>3.0000000000000001E-3</v>
      </c>
      <c r="H6" s="2">
        <v>3.0000000000000001E-3</v>
      </c>
      <c r="J6" s="2"/>
      <c r="L6" t="s">
        <v>31</v>
      </c>
    </row>
    <row r="7" spans="1:12" x14ac:dyDescent="0.25">
      <c r="A7" t="s">
        <v>3</v>
      </c>
      <c r="B7" s="3">
        <v>227317</v>
      </c>
      <c r="C7" s="3">
        <v>130404</v>
      </c>
      <c r="D7" s="3">
        <v>218199</v>
      </c>
      <c r="E7" s="3">
        <v>235844</v>
      </c>
      <c r="F7" s="3">
        <v>98531</v>
      </c>
      <c r="G7" s="3">
        <v>249596</v>
      </c>
      <c r="H7" s="3">
        <v>852964</v>
      </c>
      <c r="J7" s="2"/>
    </row>
    <row r="8" spans="1:12" x14ac:dyDescent="0.25">
      <c r="A8" t="s">
        <v>16</v>
      </c>
      <c r="B8" s="3">
        <f t="shared" ref="B8" si="0">B7/B6</f>
        <v>75772333.333333328</v>
      </c>
      <c r="C8" s="3">
        <f t="shared" ref="C8" si="1">C7/C6</f>
        <v>43468000</v>
      </c>
      <c r="D8" s="3">
        <f t="shared" ref="D8" si="2">D7/D6</f>
        <v>72733000</v>
      </c>
      <c r="E8" s="3">
        <f t="shared" ref="E8" si="3">E7/E6</f>
        <v>78614666.666666672</v>
      </c>
      <c r="F8" s="3">
        <f t="shared" ref="F8" si="4">F7/F6</f>
        <v>32843666.666666664</v>
      </c>
      <c r="G8" s="3">
        <f t="shared" ref="G8:H8" si="5">G7/G6</f>
        <v>83198666.666666672</v>
      </c>
      <c r="H8" s="3">
        <f t="shared" si="5"/>
        <v>284321333.33333331</v>
      </c>
      <c r="J8" s="2"/>
    </row>
    <row r="9" spans="1:12" x14ac:dyDescent="0.25">
      <c r="J9" s="2"/>
    </row>
    <row r="10" spans="1:12" x14ac:dyDescent="0.25">
      <c r="A10" t="s">
        <v>5</v>
      </c>
      <c r="B10" s="3">
        <v>1395145</v>
      </c>
      <c r="C10" s="3">
        <v>808393</v>
      </c>
      <c r="D10" s="3">
        <v>1343927</v>
      </c>
      <c r="E10" s="3">
        <v>1458483</v>
      </c>
      <c r="F10" s="3">
        <v>693589</v>
      </c>
      <c r="G10" s="3">
        <v>1671661</v>
      </c>
      <c r="H10" s="3">
        <v>4896916</v>
      </c>
      <c r="J10" s="2"/>
    </row>
    <row r="11" spans="1:12" x14ac:dyDescent="0.25">
      <c r="A11" t="s">
        <v>25</v>
      </c>
      <c r="B11" s="3">
        <v>278674</v>
      </c>
      <c r="C11" s="3">
        <v>147242</v>
      </c>
      <c r="D11" s="3">
        <v>241813</v>
      </c>
      <c r="E11" s="3">
        <v>271338</v>
      </c>
      <c r="F11" s="3">
        <v>115918</v>
      </c>
      <c r="G11" s="3">
        <v>296366</v>
      </c>
      <c r="H11" s="3">
        <v>844450</v>
      </c>
      <c r="J11" s="2"/>
    </row>
    <row r="12" spans="1:12" x14ac:dyDescent="0.25">
      <c r="A12" t="s">
        <v>26</v>
      </c>
      <c r="B12" s="16">
        <f>B11/B10</f>
        <v>0.19974554616186849</v>
      </c>
      <c r="C12" s="16">
        <f t="shared" ref="C12:H12" si="6">C11/C10</f>
        <v>0.18214160686695705</v>
      </c>
      <c r="D12" s="16">
        <f t="shared" si="6"/>
        <v>0.17993015989707775</v>
      </c>
      <c r="E12" s="16">
        <f t="shared" si="6"/>
        <v>0.1860412497094584</v>
      </c>
      <c r="F12" s="16">
        <f t="shared" si="6"/>
        <v>0.16712779470262648</v>
      </c>
      <c r="G12" s="16">
        <f t="shared" si="6"/>
        <v>0.17728833776704728</v>
      </c>
      <c r="H12" s="16">
        <f t="shared" si="6"/>
        <v>0.17244526963501108</v>
      </c>
      <c r="J12" s="2">
        <f t="shared" ref="J12:J13" si="7">AVERAGE(B12:G12)</f>
        <v>0.18204578251750592</v>
      </c>
    </row>
    <row r="13" spans="1:12" x14ac:dyDescent="0.25">
      <c r="A13" t="s">
        <v>28</v>
      </c>
      <c r="B13" s="4">
        <f>B10/B8</f>
        <v>1.8412327278646119E-2</v>
      </c>
      <c r="C13" s="4">
        <f t="shared" ref="C13:H13" si="8">C10/C8</f>
        <v>1.859742799300635E-2</v>
      </c>
      <c r="D13" s="4">
        <f t="shared" si="8"/>
        <v>1.8477541143634937E-2</v>
      </c>
      <c r="E13" s="4">
        <f t="shared" si="8"/>
        <v>1.8552301521344617E-2</v>
      </c>
      <c r="F13" s="4">
        <f t="shared" si="8"/>
        <v>2.1117891830997354E-2</v>
      </c>
      <c r="G13" s="4">
        <f t="shared" si="8"/>
        <v>2.0092401320533981E-2</v>
      </c>
      <c r="H13" s="4">
        <f t="shared" si="8"/>
        <v>1.7223174717807554E-2</v>
      </c>
      <c r="J13" s="2">
        <f t="shared" si="7"/>
        <v>1.9208315181360559E-2</v>
      </c>
    </row>
    <row r="14" spans="1:12" x14ac:dyDescent="0.25">
      <c r="A14" t="s">
        <v>29</v>
      </c>
      <c r="B14" s="4">
        <f>B11/B8</f>
        <v>3.6777803683842392E-3</v>
      </c>
      <c r="C14" s="4">
        <f t="shared" ref="C14:H14" si="9">C11/C8</f>
        <v>3.3873654182387043E-3</v>
      </c>
      <c r="D14" s="4">
        <f t="shared" si="9"/>
        <v>3.3246669324790675E-3</v>
      </c>
      <c r="E14" s="4">
        <f t="shared" si="9"/>
        <v>3.4514933600176385E-3</v>
      </c>
      <c r="F14" s="4">
        <f t="shared" si="9"/>
        <v>3.5293866904831986E-3</v>
      </c>
      <c r="G14" s="4">
        <f t="shared" si="9"/>
        <v>3.5621484318658953E-3</v>
      </c>
      <c r="H14" s="4">
        <f t="shared" si="9"/>
        <v>2.9700550081832294E-3</v>
      </c>
      <c r="J14" s="2">
        <f>AVERAGE(B14:H14)</f>
        <v>3.4146994585217108E-3</v>
      </c>
    </row>
    <row r="15" spans="1:12" x14ac:dyDescent="0.25">
      <c r="J15" s="2"/>
    </row>
    <row r="16" spans="1:12" x14ac:dyDescent="0.25">
      <c r="A16" t="s">
        <v>1</v>
      </c>
      <c r="B16" s="3">
        <v>20213</v>
      </c>
      <c r="C16" s="3">
        <v>9721</v>
      </c>
      <c r="D16" s="3">
        <v>13128</v>
      </c>
      <c r="E16" s="3">
        <v>14984</v>
      </c>
      <c r="F16" s="3">
        <v>3301</v>
      </c>
      <c r="G16" s="3">
        <v>12944</v>
      </c>
      <c r="H16" s="3">
        <v>23210</v>
      </c>
      <c r="J16" s="2"/>
    </row>
    <row r="17" spans="1:10" x14ac:dyDescent="0.25">
      <c r="A17" t="s">
        <v>2</v>
      </c>
      <c r="B17" s="17">
        <f>B16/B8</f>
        <v>2.6675963522305855E-4</v>
      </c>
      <c r="C17" s="17">
        <f t="shared" ref="C17:H17" si="10">C16/C8</f>
        <v>2.236357780436183E-4</v>
      </c>
      <c r="D17" s="17">
        <f t="shared" si="10"/>
        <v>1.8049578595685588E-4</v>
      </c>
      <c r="E17" s="17">
        <f t="shared" si="10"/>
        <v>1.9060056647614523E-4</v>
      </c>
      <c r="F17" s="17">
        <f t="shared" si="10"/>
        <v>1.0050643959769008E-4</v>
      </c>
      <c r="G17" s="17">
        <f t="shared" si="10"/>
        <v>1.5557941633680025E-4</v>
      </c>
      <c r="H17" s="17">
        <f t="shared" si="10"/>
        <v>8.1632988027630719E-5</v>
      </c>
      <c r="J17" s="2">
        <f>AVERAGE(B17:H17)</f>
        <v>1.71315801380257E-4</v>
      </c>
    </row>
    <row r="18" spans="1:10" x14ac:dyDescent="0.25">
      <c r="A18" t="s">
        <v>35</v>
      </c>
      <c r="G18" s="2">
        <v>0.20169999999999999</v>
      </c>
      <c r="H18" s="2">
        <v>0.28070000000000001</v>
      </c>
    </row>
    <row r="20" spans="1:10" x14ac:dyDescent="0.25">
      <c r="A20" s="1" t="s">
        <v>32</v>
      </c>
      <c r="B20" s="2">
        <f>H6+J14+J17</f>
        <v>6.5860152599019686E-3</v>
      </c>
    </row>
    <row r="25" spans="1:10" x14ac:dyDescent="0.25">
      <c r="A25" s="1" t="s">
        <v>36</v>
      </c>
      <c r="B25" s="1">
        <f>B4</f>
        <v>2016</v>
      </c>
      <c r="C25" s="1">
        <f t="shared" ref="C25:H25" si="11">C4</f>
        <v>2017</v>
      </c>
      <c r="D25" s="1">
        <f t="shared" si="11"/>
        <v>2018</v>
      </c>
      <c r="E25" s="1">
        <f t="shared" si="11"/>
        <v>2019</v>
      </c>
      <c r="F25" s="1">
        <f t="shared" si="11"/>
        <v>2020</v>
      </c>
      <c r="G25" s="1">
        <f t="shared" si="11"/>
        <v>2021</v>
      </c>
      <c r="H25" s="1">
        <f t="shared" si="11"/>
        <v>2022</v>
      </c>
    </row>
    <row r="26" spans="1:10" x14ac:dyDescent="0.25">
      <c r="A26" t="str">
        <f>A6</f>
        <v>TER</v>
      </c>
      <c r="B26" s="4">
        <f>B6</f>
        <v>3.0000000000000001E-3</v>
      </c>
      <c r="C26" s="4">
        <f t="shared" ref="C26:H26" si="12">C6</f>
        <v>3.0000000000000001E-3</v>
      </c>
      <c r="D26" s="4">
        <f t="shared" si="12"/>
        <v>3.0000000000000001E-3</v>
      </c>
      <c r="E26" s="4">
        <f t="shared" si="12"/>
        <v>3.0000000000000001E-3</v>
      </c>
      <c r="F26" s="4">
        <f t="shared" si="12"/>
        <v>3.0000000000000001E-3</v>
      </c>
      <c r="G26" s="4">
        <f t="shared" si="12"/>
        <v>3.0000000000000001E-3</v>
      </c>
      <c r="H26" s="4">
        <f t="shared" si="12"/>
        <v>3.0000000000000001E-3</v>
      </c>
    </row>
    <row r="27" spans="1:10" x14ac:dyDescent="0.25">
      <c r="A27" t="str">
        <f>A12</f>
        <v>Dividend leakage</v>
      </c>
      <c r="B27" s="4">
        <f>B14</f>
        <v>3.6777803683842392E-3</v>
      </c>
      <c r="C27" s="4">
        <f t="shared" ref="C27:H27" si="13">C14</f>
        <v>3.3873654182387043E-3</v>
      </c>
      <c r="D27" s="4">
        <f t="shared" si="13"/>
        <v>3.3246669324790675E-3</v>
      </c>
      <c r="E27" s="4">
        <f t="shared" si="13"/>
        <v>3.4514933600176385E-3</v>
      </c>
      <c r="F27" s="4">
        <f t="shared" si="13"/>
        <v>3.5293866904831986E-3</v>
      </c>
      <c r="G27" s="4">
        <f t="shared" si="13"/>
        <v>3.5621484318658953E-3</v>
      </c>
      <c r="H27" s="4">
        <f t="shared" si="13"/>
        <v>2.9700550081832294E-3</v>
      </c>
    </row>
    <row r="28" spans="1:10" x14ac:dyDescent="0.25">
      <c r="A28" t="str">
        <f>A16</f>
        <v>Transaction costs</v>
      </c>
      <c r="B28" s="4">
        <f>B17</f>
        <v>2.6675963522305855E-4</v>
      </c>
      <c r="C28" s="4">
        <f t="shared" ref="C28:H28" si="14">C17</f>
        <v>2.236357780436183E-4</v>
      </c>
      <c r="D28" s="4">
        <f t="shared" si="14"/>
        <v>1.8049578595685588E-4</v>
      </c>
      <c r="E28" s="4">
        <f t="shared" si="14"/>
        <v>1.9060056647614523E-4</v>
      </c>
      <c r="F28" s="4">
        <f t="shared" si="14"/>
        <v>1.0050643959769008E-4</v>
      </c>
      <c r="G28" s="4">
        <f t="shared" si="14"/>
        <v>1.5557941633680025E-4</v>
      </c>
      <c r="H28" s="4">
        <f t="shared" si="14"/>
        <v>8.1632988027630719E-5</v>
      </c>
    </row>
    <row r="29" spans="1:10" x14ac:dyDescent="0.25">
      <c r="A29" t="s">
        <v>34</v>
      </c>
      <c r="B29" s="2">
        <f>SUM(B26:B28)</f>
        <v>6.9445400036072975E-3</v>
      </c>
      <c r="C29" s="2">
        <f t="shared" ref="C29:H29" si="15">SUM(C26:C28)</f>
        <v>6.6110011962823229E-3</v>
      </c>
      <c r="D29" s="2">
        <f t="shared" si="15"/>
        <v>6.5051627184359237E-3</v>
      </c>
      <c r="E29" s="2">
        <f t="shared" si="15"/>
        <v>6.6420939264937836E-3</v>
      </c>
      <c r="F29" s="2">
        <f t="shared" si="15"/>
        <v>6.6298931300808883E-3</v>
      </c>
      <c r="G29" s="2">
        <f t="shared" si="15"/>
        <v>6.7177278482026962E-3</v>
      </c>
      <c r="H29" s="2">
        <f t="shared" si="15"/>
        <v>6.0516879962108604E-3</v>
      </c>
      <c r="I29" s="2">
        <f>AVERAGE(B29:H29)</f>
        <v>6.5860152599019678E-3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8207-D1C4-481F-BB33-4641CBED083B}">
  <dimension ref="A2:L29"/>
  <sheetViews>
    <sheetView workbookViewId="0">
      <selection activeCell="L2" sqref="L2:L4"/>
    </sheetView>
  </sheetViews>
  <sheetFormatPr defaultRowHeight="15" x14ac:dyDescent="0.25"/>
  <cols>
    <col min="1" max="1" width="25.28515625" customWidth="1"/>
    <col min="2" max="8" width="14.7109375" customWidth="1"/>
    <col min="9" max="10" width="9.140625" customWidth="1"/>
  </cols>
  <sheetData>
    <row r="2" spans="1:12" x14ac:dyDescent="0.25">
      <c r="A2" s="14" t="s">
        <v>27</v>
      </c>
      <c r="B2" s="15"/>
      <c r="C2" s="15"/>
      <c r="D2" s="15"/>
      <c r="E2" s="15"/>
      <c r="F2" s="15"/>
      <c r="G2" s="15"/>
      <c r="H2" s="15"/>
      <c r="I2" s="15"/>
      <c r="J2" s="15"/>
      <c r="L2" t="s">
        <v>21</v>
      </c>
    </row>
    <row r="3" spans="1:12" x14ac:dyDescent="0.25">
      <c r="A3" t="s">
        <v>23</v>
      </c>
    </row>
    <row r="4" spans="1:12" x14ac:dyDescent="0.25">
      <c r="A4" s="1"/>
      <c r="B4" s="1">
        <v>2016</v>
      </c>
      <c r="C4" s="1">
        <v>2017</v>
      </c>
      <c r="D4" s="1">
        <v>2018</v>
      </c>
      <c r="E4" s="1">
        <v>2019</v>
      </c>
      <c r="F4" s="1">
        <v>2020</v>
      </c>
      <c r="G4" s="1">
        <v>2021</v>
      </c>
      <c r="H4" s="1">
        <v>2022</v>
      </c>
      <c r="I4" s="1"/>
      <c r="J4" s="1" t="s">
        <v>20</v>
      </c>
      <c r="L4" t="s">
        <v>51</v>
      </c>
    </row>
    <row r="5" spans="1:12" x14ac:dyDescent="0.25">
      <c r="A5" t="s">
        <v>24</v>
      </c>
      <c r="B5" s="3">
        <v>29596852</v>
      </c>
      <c r="C5" s="3">
        <v>58263370</v>
      </c>
      <c r="D5" s="3">
        <v>73739448</v>
      </c>
      <c r="E5" s="3">
        <v>27052766</v>
      </c>
      <c r="F5" s="3">
        <v>14995894</v>
      </c>
      <c r="G5" s="3">
        <v>67941530</v>
      </c>
      <c r="H5" s="3">
        <v>116321399</v>
      </c>
      <c r="I5" s="3"/>
      <c r="J5" s="3"/>
    </row>
    <row r="6" spans="1:12" x14ac:dyDescent="0.25">
      <c r="A6" t="s">
        <v>0</v>
      </c>
      <c r="B6" s="2">
        <v>3.0000000000000001E-3</v>
      </c>
      <c r="C6" s="2">
        <v>3.0000000000000001E-3</v>
      </c>
      <c r="D6" s="2">
        <v>3.0000000000000001E-3</v>
      </c>
      <c r="E6" s="2">
        <v>3.0000000000000001E-3</v>
      </c>
      <c r="F6" s="2">
        <v>3.0000000000000001E-3</v>
      </c>
      <c r="G6" s="2">
        <v>3.0000000000000001E-3</v>
      </c>
      <c r="H6" s="2">
        <v>3.0000000000000001E-3</v>
      </c>
      <c r="I6" s="2"/>
      <c r="J6" s="2"/>
    </row>
    <row r="7" spans="1:12" x14ac:dyDescent="0.25">
      <c r="A7" t="s">
        <v>3</v>
      </c>
      <c r="B7" s="3">
        <v>260185</v>
      </c>
      <c r="C7" s="3">
        <v>111283</v>
      </c>
      <c r="D7" s="3">
        <v>179584</v>
      </c>
      <c r="E7" s="3">
        <v>162524</v>
      </c>
      <c r="F7" s="3">
        <v>71756</v>
      </c>
      <c r="G7" s="3">
        <v>87893</v>
      </c>
      <c r="H7" s="3">
        <v>322573</v>
      </c>
      <c r="I7" s="3"/>
      <c r="J7" s="3"/>
    </row>
    <row r="8" spans="1:12" x14ac:dyDescent="0.25">
      <c r="A8" t="s">
        <v>16</v>
      </c>
      <c r="B8" s="3">
        <f t="shared" ref="B8" si="0">B7/B6</f>
        <v>86728333.333333328</v>
      </c>
      <c r="C8" s="3">
        <f t="shared" ref="C8" si="1">C7/C6</f>
        <v>37094333.333333336</v>
      </c>
      <c r="D8" s="3">
        <f t="shared" ref="D8" si="2">D7/D6</f>
        <v>59861333.333333328</v>
      </c>
      <c r="E8" s="3">
        <f t="shared" ref="E8" si="3">E7/E6</f>
        <v>54174666.666666664</v>
      </c>
      <c r="F8" s="3">
        <f t="shared" ref="F8" si="4">F7/F6</f>
        <v>23918666.666666668</v>
      </c>
      <c r="G8" s="3">
        <f t="shared" ref="G8:H8" si="5">G7/G6</f>
        <v>29297666.666666668</v>
      </c>
      <c r="H8" s="3">
        <f t="shared" si="5"/>
        <v>107524333.33333333</v>
      </c>
      <c r="I8" s="3"/>
      <c r="J8" s="3"/>
    </row>
    <row r="10" spans="1:12" x14ac:dyDescent="0.25">
      <c r="A10" t="s">
        <v>5</v>
      </c>
      <c r="B10" s="3">
        <v>2327973</v>
      </c>
      <c r="C10" s="3">
        <v>853605</v>
      </c>
      <c r="D10" s="3">
        <v>1507051</v>
      </c>
      <c r="E10" s="3">
        <v>1857553</v>
      </c>
      <c r="F10" s="3">
        <v>734983</v>
      </c>
      <c r="G10" s="3">
        <v>491078</v>
      </c>
      <c r="H10" s="3">
        <v>2567095</v>
      </c>
      <c r="I10" s="3"/>
      <c r="J10" s="3"/>
    </row>
    <row r="11" spans="1:12" x14ac:dyDescent="0.25">
      <c r="A11" t="s">
        <v>25</v>
      </c>
      <c r="B11" s="3">
        <v>137864</v>
      </c>
      <c r="C11" s="3">
        <v>53100</v>
      </c>
      <c r="D11" s="3">
        <v>97184</v>
      </c>
      <c r="E11" s="3">
        <v>133506</v>
      </c>
      <c r="F11" s="3">
        <v>54518</v>
      </c>
      <c r="G11" s="3">
        <v>67508</v>
      </c>
      <c r="H11" s="3">
        <v>152942</v>
      </c>
      <c r="I11" s="3"/>
      <c r="J11" s="3"/>
    </row>
    <row r="12" spans="1:12" x14ac:dyDescent="0.25">
      <c r="A12" t="s">
        <v>26</v>
      </c>
      <c r="B12" s="4">
        <f>B11/B10</f>
        <v>5.9220618108543358E-2</v>
      </c>
      <c r="C12" s="4">
        <f t="shared" ref="C12:H12" si="6">C11/C10</f>
        <v>6.2206758395276507E-2</v>
      </c>
      <c r="D12" s="4">
        <f t="shared" si="6"/>
        <v>6.4486205178192382E-2</v>
      </c>
      <c r="E12" s="4">
        <f t="shared" si="6"/>
        <v>7.1871973504928258E-2</v>
      </c>
      <c r="F12" s="4">
        <f t="shared" si="6"/>
        <v>7.4175865292122403E-2</v>
      </c>
      <c r="G12" s="4">
        <f t="shared" si="6"/>
        <v>0.13746899677851585</v>
      </c>
      <c r="H12" s="4">
        <f t="shared" si="6"/>
        <v>5.9577849670541992E-2</v>
      </c>
      <c r="I12" s="3"/>
      <c r="J12" s="4">
        <f>AVERAGE(B12:G12)</f>
        <v>7.8238402876263116E-2</v>
      </c>
    </row>
    <row r="13" spans="1:12" x14ac:dyDescent="0.25">
      <c r="A13" t="s">
        <v>28</v>
      </c>
      <c r="B13" s="4">
        <f>B10/B8</f>
        <v>2.6842127716816881E-2</v>
      </c>
      <c r="C13" s="4">
        <f t="shared" ref="C13:H13" si="7">C10/C8</f>
        <v>2.3011735844648329E-2</v>
      </c>
      <c r="D13" s="4">
        <f t="shared" si="7"/>
        <v>2.5175700507840345E-2</v>
      </c>
      <c r="E13" s="4">
        <f t="shared" si="7"/>
        <v>3.4288222047205337E-2</v>
      </c>
      <c r="F13" s="4">
        <f t="shared" si="7"/>
        <v>3.0728426891131054E-2</v>
      </c>
      <c r="G13" s="4">
        <f t="shared" si="7"/>
        <v>1.6761676128929492E-2</v>
      </c>
      <c r="H13" s="4">
        <f t="shared" si="7"/>
        <v>2.3874549326819046E-2</v>
      </c>
      <c r="J13" s="4">
        <f t="shared" ref="J13:J17" si="8">AVERAGE(B13:G13)</f>
        <v>2.613464818942857E-2</v>
      </c>
    </row>
    <row r="14" spans="1:12" x14ac:dyDescent="0.25">
      <c r="A14" t="s">
        <v>29</v>
      </c>
      <c r="B14" s="4">
        <f>B11/B8</f>
        <v>1.5896073947383592E-3</v>
      </c>
      <c r="C14" s="4">
        <f t="shared" ref="C14:H14" si="9">C11/C8</f>
        <v>1.4314854919439627E-3</v>
      </c>
      <c r="D14" s="4">
        <f t="shared" si="9"/>
        <v>1.6234853884533145E-3</v>
      </c>
      <c r="E14" s="4">
        <f t="shared" si="9"/>
        <v>2.464362186507839E-3</v>
      </c>
      <c r="F14" s="4">
        <f t="shared" si="9"/>
        <v>2.2793076537153687E-3</v>
      </c>
      <c r="G14" s="4">
        <f t="shared" si="9"/>
        <v>2.3042108017703343E-3</v>
      </c>
      <c r="H14" s="4">
        <f t="shared" si="9"/>
        <v>1.4223943107451646E-3</v>
      </c>
      <c r="J14" s="4">
        <f t="shared" si="8"/>
        <v>1.9487431528548628E-3</v>
      </c>
    </row>
    <row r="15" spans="1:12" x14ac:dyDescent="0.25">
      <c r="J15" s="3"/>
    </row>
    <row r="16" spans="1:12" x14ac:dyDescent="0.25">
      <c r="A16" t="s">
        <v>1</v>
      </c>
      <c r="B16" s="3">
        <v>131088</v>
      </c>
      <c r="C16" s="3">
        <v>102865</v>
      </c>
      <c r="D16" s="3">
        <v>102831</v>
      </c>
      <c r="E16" s="3">
        <v>41287</v>
      </c>
      <c r="F16" s="3">
        <v>22862</v>
      </c>
      <c r="G16" s="3">
        <v>97623</v>
      </c>
      <c r="H16" s="3">
        <v>170916</v>
      </c>
      <c r="I16" s="3"/>
      <c r="J16" s="3"/>
    </row>
    <row r="17" spans="1:10" x14ac:dyDescent="0.25">
      <c r="A17" t="s">
        <v>2</v>
      </c>
      <c r="B17" s="4">
        <f t="shared" ref="B17:E17" si="10">B16/B8</f>
        <v>1.511478371158983E-3</v>
      </c>
      <c r="C17" s="4">
        <f t="shared" si="10"/>
        <v>2.773065068339279E-3</v>
      </c>
      <c r="D17" s="4">
        <f t="shared" si="10"/>
        <v>1.7178200730577336E-3</v>
      </c>
      <c r="E17" s="4">
        <f t="shared" si="10"/>
        <v>7.621089808274471E-4</v>
      </c>
      <c r="F17" s="4">
        <f>F16/F8</f>
        <v>9.5582250961592059E-4</v>
      </c>
      <c r="G17" s="4">
        <f>G16/G8</f>
        <v>3.3321083590274539E-3</v>
      </c>
      <c r="H17" s="4">
        <f>H16/H8</f>
        <v>1.589556472488398E-3</v>
      </c>
      <c r="I17" s="4"/>
      <c r="J17" s="4">
        <f t="shared" si="8"/>
        <v>1.8420672270044694E-3</v>
      </c>
    </row>
    <row r="18" spans="1:10" x14ac:dyDescent="0.25">
      <c r="A18" t="s">
        <v>35</v>
      </c>
      <c r="B18" s="4"/>
      <c r="C18" s="4"/>
      <c r="D18" s="4"/>
      <c r="E18" s="4"/>
      <c r="G18" s="4">
        <v>0.35089999999999999</v>
      </c>
      <c r="H18" s="4">
        <v>0.24690000000000001</v>
      </c>
      <c r="I18" s="4"/>
      <c r="J18" s="4"/>
    </row>
    <row r="20" spans="1:10" x14ac:dyDescent="0.25">
      <c r="A20" s="1" t="s">
        <v>32</v>
      </c>
      <c r="B20" s="2">
        <f>G6+J14+J17</f>
        <v>6.7908103798593319E-3</v>
      </c>
    </row>
    <row r="23" spans="1:10" x14ac:dyDescent="0.25">
      <c r="B23" s="4"/>
    </row>
    <row r="25" spans="1:10" x14ac:dyDescent="0.25">
      <c r="A25" s="1" t="s">
        <v>37</v>
      </c>
      <c r="B25" s="1">
        <f>B4</f>
        <v>2016</v>
      </c>
      <c r="C25" s="1">
        <f t="shared" ref="C25:H25" si="11">C4</f>
        <v>2017</v>
      </c>
      <c r="D25" s="1">
        <f t="shared" si="11"/>
        <v>2018</v>
      </c>
      <c r="E25" s="1">
        <f t="shared" si="11"/>
        <v>2019</v>
      </c>
      <c r="F25" s="1">
        <f t="shared" si="11"/>
        <v>2020</v>
      </c>
      <c r="G25" s="1">
        <f t="shared" si="11"/>
        <v>2021</v>
      </c>
      <c r="H25" s="1">
        <f t="shared" si="11"/>
        <v>2022</v>
      </c>
    </row>
    <row r="26" spans="1:10" x14ac:dyDescent="0.25">
      <c r="A26" t="str">
        <f>A6</f>
        <v>TER</v>
      </c>
      <c r="B26" s="4">
        <f>B6</f>
        <v>3.0000000000000001E-3</v>
      </c>
      <c r="C26" s="4">
        <f t="shared" ref="C26:H26" si="12">C6</f>
        <v>3.0000000000000001E-3</v>
      </c>
      <c r="D26" s="4">
        <f t="shared" si="12"/>
        <v>3.0000000000000001E-3</v>
      </c>
      <c r="E26" s="4">
        <f t="shared" si="12"/>
        <v>3.0000000000000001E-3</v>
      </c>
      <c r="F26" s="4">
        <f t="shared" si="12"/>
        <v>3.0000000000000001E-3</v>
      </c>
      <c r="G26" s="4">
        <f t="shared" si="12"/>
        <v>3.0000000000000001E-3</v>
      </c>
      <c r="H26" s="4">
        <f t="shared" si="12"/>
        <v>3.0000000000000001E-3</v>
      </c>
    </row>
    <row r="27" spans="1:10" x14ac:dyDescent="0.25">
      <c r="A27" t="str">
        <f>A12</f>
        <v>Dividend leakage</v>
      </c>
      <c r="B27" s="4">
        <f>B14</f>
        <v>1.5896073947383592E-3</v>
      </c>
      <c r="C27" s="4">
        <f t="shared" ref="C27:H27" si="13">C14</f>
        <v>1.4314854919439627E-3</v>
      </c>
      <c r="D27" s="4">
        <f t="shared" si="13"/>
        <v>1.6234853884533145E-3</v>
      </c>
      <c r="E27" s="4">
        <f t="shared" si="13"/>
        <v>2.464362186507839E-3</v>
      </c>
      <c r="F27" s="4">
        <f t="shared" si="13"/>
        <v>2.2793076537153687E-3</v>
      </c>
      <c r="G27" s="4">
        <f t="shared" si="13"/>
        <v>2.3042108017703343E-3</v>
      </c>
      <c r="H27" s="4">
        <f t="shared" si="13"/>
        <v>1.4223943107451646E-3</v>
      </c>
    </row>
    <row r="28" spans="1:10" x14ac:dyDescent="0.25">
      <c r="A28" t="str">
        <f>A16</f>
        <v>Transaction costs</v>
      </c>
      <c r="B28" s="4">
        <f>B17</f>
        <v>1.511478371158983E-3</v>
      </c>
      <c r="C28" s="4">
        <f t="shared" ref="C28:H28" si="14">C17</f>
        <v>2.773065068339279E-3</v>
      </c>
      <c r="D28" s="4">
        <f t="shared" si="14"/>
        <v>1.7178200730577336E-3</v>
      </c>
      <c r="E28" s="4">
        <f t="shared" si="14"/>
        <v>7.621089808274471E-4</v>
      </c>
      <c r="F28" s="4">
        <f t="shared" si="14"/>
        <v>9.5582250961592059E-4</v>
      </c>
      <c r="G28" s="4">
        <f t="shared" si="14"/>
        <v>3.3321083590274539E-3</v>
      </c>
      <c r="H28" s="4">
        <f t="shared" si="14"/>
        <v>1.589556472488398E-3</v>
      </c>
    </row>
    <row r="29" spans="1:10" x14ac:dyDescent="0.25">
      <c r="A29" t="s">
        <v>34</v>
      </c>
      <c r="B29" s="2">
        <f>SUM(B26:B28)</f>
        <v>6.1010857658973421E-3</v>
      </c>
      <c r="C29" s="2">
        <f t="shared" ref="C29:H29" si="15">SUM(C26:C28)</f>
        <v>7.2045505602832422E-3</v>
      </c>
      <c r="D29" s="2">
        <f t="shared" si="15"/>
        <v>6.3413054615110483E-3</v>
      </c>
      <c r="E29" s="2">
        <f t="shared" si="15"/>
        <v>6.2264711673352862E-3</v>
      </c>
      <c r="F29" s="2">
        <f t="shared" si="15"/>
        <v>6.2351301633312897E-3</v>
      </c>
      <c r="G29" s="2">
        <f t="shared" si="15"/>
        <v>8.6363191607977882E-3</v>
      </c>
      <c r="H29" s="2">
        <f t="shared" si="15"/>
        <v>6.0119507832335625E-3</v>
      </c>
      <c r="I29" s="2">
        <f>AVERAGE(B29:H29)</f>
        <v>6.6795447231985088E-3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4ABB-EB76-42C9-BCD5-AAAD094BB644}">
  <dimension ref="A2:N37"/>
  <sheetViews>
    <sheetView zoomScale="115" zoomScaleNormal="115" workbookViewId="0">
      <selection activeCell="E34" sqref="E34"/>
    </sheetView>
  </sheetViews>
  <sheetFormatPr defaultRowHeight="15" x14ac:dyDescent="0.25"/>
  <cols>
    <col min="1" max="1" width="36.42578125" customWidth="1"/>
    <col min="2" max="7" width="17.7109375" customWidth="1"/>
    <col min="8" max="8" width="13.28515625" customWidth="1"/>
    <col min="12" max="12" width="13.7109375" bestFit="1" customWidth="1"/>
    <col min="14" max="14" width="9.85546875" bestFit="1" customWidth="1"/>
  </cols>
  <sheetData>
    <row r="2" spans="1:9" x14ac:dyDescent="0.25">
      <c r="A2" s="14" t="s">
        <v>50</v>
      </c>
      <c r="B2" s="14"/>
      <c r="C2" s="14"/>
      <c r="D2" s="14"/>
      <c r="E2" s="14"/>
      <c r="F2" s="15"/>
      <c r="G2" s="15"/>
      <c r="I2" t="s">
        <v>21</v>
      </c>
    </row>
    <row r="4" spans="1:9" x14ac:dyDescent="0.25">
      <c r="B4" s="1">
        <v>2020</v>
      </c>
      <c r="C4" s="1">
        <v>2021</v>
      </c>
      <c r="D4" s="1">
        <v>2022</v>
      </c>
      <c r="E4" s="1">
        <v>2023</v>
      </c>
      <c r="F4" s="1">
        <v>2024</v>
      </c>
      <c r="G4" s="1">
        <v>2025</v>
      </c>
      <c r="I4" t="s">
        <v>51</v>
      </c>
    </row>
    <row r="5" spans="1:9" x14ac:dyDescent="0.25">
      <c r="A5" t="s">
        <v>4</v>
      </c>
      <c r="E5" s="20">
        <v>1844639</v>
      </c>
      <c r="F5" s="20">
        <v>1345720</v>
      </c>
      <c r="G5" s="20">
        <v>3442955</v>
      </c>
    </row>
    <row r="6" spans="1:9" x14ac:dyDescent="0.25">
      <c r="A6" t="s">
        <v>42</v>
      </c>
      <c r="E6" s="21">
        <v>4.0000000000000001E-3</v>
      </c>
      <c r="F6" s="21">
        <v>1.6999999999999999E-3</v>
      </c>
      <c r="G6" s="21">
        <v>1.6999999999999999E-3</v>
      </c>
      <c r="I6" t="s">
        <v>54</v>
      </c>
    </row>
    <row r="7" spans="1:9" x14ac:dyDescent="0.25">
      <c r="A7" t="s">
        <v>43</v>
      </c>
      <c r="E7" s="19">
        <v>524231887</v>
      </c>
      <c r="F7" s="19">
        <v>1328722329</v>
      </c>
      <c r="G7" s="19">
        <v>2748852311</v>
      </c>
    </row>
    <row r="8" spans="1:9" x14ac:dyDescent="0.25">
      <c r="A8" t="s">
        <v>44</v>
      </c>
      <c r="E8" s="20">
        <f>E5/E6</f>
        <v>461159750</v>
      </c>
      <c r="F8" s="20">
        <f>F5/F6</f>
        <v>791600000</v>
      </c>
      <c r="G8" s="20">
        <f>G5/G6</f>
        <v>2025267647.0588236</v>
      </c>
    </row>
    <row r="9" spans="1:9" x14ac:dyDescent="0.25">
      <c r="E9" s="22"/>
      <c r="F9" s="22"/>
      <c r="G9" s="22"/>
    </row>
    <row r="10" spans="1:9" x14ac:dyDescent="0.25">
      <c r="A10" t="s">
        <v>5</v>
      </c>
      <c r="B10" s="19">
        <v>3812795</v>
      </c>
      <c r="C10" s="19">
        <v>5004773</v>
      </c>
      <c r="D10" s="19">
        <v>8491140</v>
      </c>
      <c r="E10" s="19">
        <v>11061893</v>
      </c>
      <c r="F10" s="19">
        <v>17303517</v>
      </c>
      <c r="G10" s="19">
        <v>39985661</v>
      </c>
    </row>
    <row r="11" spans="1:9" x14ac:dyDescent="0.25">
      <c r="A11" t="s">
        <v>25</v>
      </c>
      <c r="B11" s="19">
        <v>492580</v>
      </c>
      <c r="C11" s="19">
        <v>668932</v>
      </c>
      <c r="D11" s="19">
        <v>1076957</v>
      </c>
      <c r="E11" s="19">
        <v>1399652</v>
      </c>
      <c r="F11" s="19">
        <v>2224854</v>
      </c>
      <c r="G11" s="19">
        <v>5092103</v>
      </c>
    </row>
    <row r="12" spans="1:9" x14ac:dyDescent="0.25">
      <c r="A12" t="s">
        <v>26</v>
      </c>
      <c r="B12" s="16">
        <f>B11/B10</f>
        <v>0.12919131503267289</v>
      </c>
      <c r="C12" s="16">
        <f t="shared" ref="C12:G12" si="0">C11/C10</f>
        <v>0.13365880930064161</v>
      </c>
      <c r="D12" s="16">
        <f t="shared" si="0"/>
        <v>0.12683302830950849</v>
      </c>
      <c r="E12" s="16">
        <f t="shared" si="0"/>
        <v>0.12652915735127795</v>
      </c>
      <c r="F12" s="16">
        <f t="shared" si="0"/>
        <v>0.12857813819005698</v>
      </c>
      <c r="G12" s="16">
        <f t="shared" si="0"/>
        <v>0.12734822615537106</v>
      </c>
    </row>
    <row r="13" spans="1:9" x14ac:dyDescent="0.25">
      <c r="E13" s="20"/>
      <c r="F13" s="20"/>
      <c r="G13" s="20"/>
    </row>
    <row r="14" spans="1:9" x14ac:dyDescent="0.25">
      <c r="A14" t="s">
        <v>45</v>
      </c>
      <c r="E14" s="19">
        <v>0</v>
      </c>
      <c r="F14" s="19">
        <v>97271</v>
      </c>
      <c r="G14" s="20">
        <v>429604</v>
      </c>
    </row>
    <row r="15" spans="1:9" x14ac:dyDescent="0.25">
      <c r="A15" t="s">
        <v>46</v>
      </c>
      <c r="E15" s="23">
        <f>E14/E8</f>
        <v>0</v>
      </c>
      <c r="F15" s="23">
        <f>F14/F8</f>
        <v>1.2287897928246589E-4</v>
      </c>
      <c r="G15" s="23">
        <f>G14/G8</f>
        <v>2.1212208698632423E-4</v>
      </c>
    </row>
    <row r="16" spans="1:9" x14ac:dyDescent="0.25">
      <c r="E16" s="19"/>
      <c r="F16" s="19"/>
      <c r="G16" s="20"/>
    </row>
    <row r="17" spans="1:14" x14ac:dyDescent="0.25">
      <c r="E17" s="22"/>
      <c r="F17" s="22"/>
      <c r="G17" s="22"/>
    </row>
    <row r="18" spans="1:14" x14ac:dyDescent="0.25">
      <c r="A18" t="s">
        <v>47</v>
      </c>
      <c r="G18" s="2">
        <v>1E-4</v>
      </c>
    </row>
    <row r="20" spans="1:14" x14ac:dyDescent="0.25">
      <c r="E20" s="2"/>
      <c r="G20" s="24"/>
      <c r="L20" s="2"/>
    </row>
    <row r="21" spans="1:14" x14ac:dyDescent="0.25">
      <c r="A21" s="1" t="s">
        <v>48</v>
      </c>
      <c r="B21" s="1"/>
      <c r="C21" s="1"/>
      <c r="D21" s="1"/>
      <c r="L21" s="25"/>
    </row>
    <row r="22" spans="1:14" x14ac:dyDescent="0.25">
      <c r="A22" t="s">
        <v>49</v>
      </c>
      <c r="E22" s="26">
        <f>AVERAGE(F15:G15)</f>
        <v>1.6750053313439506E-4</v>
      </c>
    </row>
    <row r="23" spans="1:14" x14ac:dyDescent="0.25">
      <c r="H23" s="26"/>
    </row>
    <row r="24" spans="1:14" x14ac:dyDescent="0.25">
      <c r="A24" s="1"/>
      <c r="B24" s="1"/>
      <c r="C24" s="1"/>
      <c r="D24" s="1"/>
      <c r="E24" s="24"/>
      <c r="H24" s="26"/>
    </row>
    <row r="25" spans="1:14" x14ac:dyDescent="0.25">
      <c r="H25" s="26"/>
    </row>
    <row r="26" spans="1:14" x14ac:dyDescent="0.25">
      <c r="H26" s="26"/>
    </row>
    <row r="27" spans="1:14" x14ac:dyDescent="0.25">
      <c r="E27" s="26"/>
      <c r="F27" s="24"/>
      <c r="G27" s="24"/>
      <c r="H27" s="26"/>
      <c r="L27" s="4"/>
      <c r="N27" s="27"/>
    </row>
    <row r="28" spans="1:14" x14ac:dyDescent="0.25">
      <c r="E28" s="26"/>
      <c r="F28" s="24"/>
      <c r="G28" s="24"/>
      <c r="H28" s="26"/>
    </row>
    <row r="29" spans="1:14" x14ac:dyDescent="0.25">
      <c r="F29" s="24"/>
      <c r="G29" s="24"/>
      <c r="H29" s="26"/>
    </row>
    <row r="30" spans="1:14" x14ac:dyDescent="0.25">
      <c r="E30" s="26"/>
      <c r="F30" s="24"/>
      <c r="G30" s="24"/>
      <c r="H30" s="26"/>
    </row>
    <row r="31" spans="1:14" x14ac:dyDescent="0.25">
      <c r="A31" s="1"/>
      <c r="B31" s="1"/>
      <c r="C31" s="1"/>
      <c r="D31" s="1"/>
      <c r="E31" s="28"/>
      <c r="F31" s="24"/>
      <c r="G31" s="24"/>
      <c r="H31" s="26"/>
    </row>
    <row r="32" spans="1:14" x14ac:dyDescent="0.25">
      <c r="A32" s="1"/>
      <c r="B32" s="1"/>
      <c r="C32" s="1"/>
      <c r="D32" s="1"/>
      <c r="E32" s="1"/>
      <c r="F32" s="24"/>
      <c r="G32" s="24"/>
      <c r="H32" s="26"/>
    </row>
    <row r="33" spans="1:8" x14ac:dyDescent="0.25">
      <c r="A33" s="1"/>
      <c r="B33" s="1"/>
      <c r="C33" s="1"/>
      <c r="D33" s="1"/>
      <c r="E33" s="1"/>
      <c r="F33" s="24"/>
      <c r="G33" s="24"/>
      <c r="H33" s="26"/>
    </row>
    <row r="34" spans="1:8" x14ac:dyDescent="0.25">
      <c r="A34" s="1"/>
      <c r="B34" s="1"/>
      <c r="C34" s="1"/>
      <c r="D34" s="1"/>
      <c r="E34" s="1"/>
      <c r="F34" s="24"/>
      <c r="G34" s="24"/>
      <c r="H34" s="26"/>
    </row>
    <row r="35" spans="1:8" x14ac:dyDescent="0.25">
      <c r="A35" s="1"/>
      <c r="B35" s="1"/>
      <c r="C35" s="1"/>
      <c r="D35" s="1"/>
      <c r="E35" s="1"/>
      <c r="F35" s="24"/>
      <c r="G35" s="24"/>
      <c r="H35" s="26"/>
    </row>
    <row r="36" spans="1:8" x14ac:dyDescent="0.25">
      <c r="A36" s="1"/>
      <c r="B36" s="1"/>
      <c r="C36" s="1"/>
      <c r="D36" s="1"/>
      <c r="E36" s="1"/>
      <c r="F36" s="24"/>
      <c r="G36" s="24"/>
      <c r="H36" s="26"/>
    </row>
    <row r="37" spans="1:8" x14ac:dyDescent="0.25">
      <c r="A37" s="1"/>
      <c r="B37" s="1"/>
      <c r="C37" s="1"/>
      <c r="D37" s="1"/>
      <c r="E37" s="1"/>
      <c r="F37" s="24"/>
      <c r="G37" s="24"/>
      <c r="H37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0AE6-CAC9-4FBF-9A69-3BEA9518C12B}">
  <dimension ref="A2:P37"/>
  <sheetViews>
    <sheetView zoomScaleNormal="100" workbookViewId="0">
      <selection activeCell="I1" sqref="I1"/>
    </sheetView>
  </sheetViews>
  <sheetFormatPr defaultRowHeight="15" x14ac:dyDescent="0.25"/>
  <cols>
    <col min="1" max="1" width="36.42578125" customWidth="1"/>
    <col min="2" max="8" width="17.7109375" customWidth="1"/>
    <col min="9" max="10" width="13.28515625" customWidth="1"/>
    <col min="14" max="14" width="13.7109375" bestFit="1" customWidth="1"/>
    <col min="16" max="16" width="9.85546875" bestFit="1" customWidth="1"/>
  </cols>
  <sheetData>
    <row r="2" spans="1:11" x14ac:dyDescent="0.25">
      <c r="A2" s="14" t="s">
        <v>52</v>
      </c>
      <c r="B2" s="14"/>
      <c r="C2" s="14"/>
      <c r="D2" s="14"/>
      <c r="E2" s="14"/>
      <c r="F2" s="15"/>
      <c r="G2" s="15"/>
      <c r="H2" s="15"/>
      <c r="I2" s="15" t="s">
        <v>20</v>
      </c>
      <c r="K2" t="s">
        <v>21</v>
      </c>
    </row>
    <row r="4" spans="1:11" x14ac:dyDescent="0.25">
      <c r="B4" s="1">
        <v>2020</v>
      </c>
      <c r="C4" s="1">
        <v>2021</v>
      </c>
      <c r="D4" s="1">
        <v>2022</v>
      </c>
      <c r="E4" s="1">
        <v>2023</v>
      </c>
      <c r="F4" s="1">
        <v>2024</v>
      </c>
      <c r="G4" s="1">
        <v>2025</v>
      </c>
      <c r="H4" s="1"/>
      <c r="K4" t="s">
        <v>51</v>
      </c>
    </row>
    <row r="5" spans="1:11" x14ac:dyDescent="0.25">
      <c r="A5" t="s">
        <v>4</v>
      </c>
      <c r="E5" s="19">
        <v>10742916</v>
      </c>
      <c r="F5" s="19">
        <v>11946806</v>
      </c>
      <c r="G5" s="20">
        <v>7927976</v>
      </c>
      <c r="H5" s="20"/>
    </row>
    <row r="6" spans="1:11" x14ac:dyDescent="0.25">
      <c r="A6" t="s">
        <v>42</v>
      </c>
      <c r="E6" s="21">
        <v>4.0000000000000001E-3</v>
      </c>
      <c r="F6" s="4">
        <v>4.0000000000000001E-3</v>
      </c>
      <c r="G6" s="21">
        <f>((4/12)*0.4%)+((8/12)*0.12%)</f>
        <v>2.1333333333333334E-3</v>
      </c>
      <c r="H6" s="21"/>
      <c r="K6" t="s">
        <v>55</v>
      </c>
    </row>
    <row r="7" spans="1:11" x14ac:dyDescent="0.25">
      <c r="A7" t="s">
        <v>43</v>
      </c>
      <c r="E7" s="19">
        <v>2636854813</v>
      </c>
      <c r="F7" s="19">
        <v>3411579317</v>
      </c>
      <c r="G7" s="19">
        <v>4726963005</v>
      </c>
      <c r="H7" s="19"/>
      <c r="K7" t="s">
        <v>53</v>
      </c>
    </row>
    <row r="8" spans="1:11" x14ac:dyDescent="0.25">
      <c r="A8" t="s">
        <v>44</v>
      </c>
      <c r="E8" s="20">
        <f>E5/E6</f>
        <v>2685729000</v>
      </c>
      <c r="F8" s="20">
        <f t="shared" ref="F8:G8" si="0">F5/F6</f>
        <v>2986701500</v>
      </c>
      <c r="G8" s="20">
        <f t="shared" si="0"/>
        <v>3716238750</v>
      </c>
      <c r="H8" s="20"/>
    </row>
    <row r="9" spans="1:11" x14ac:dyDescent="0.25">
      <c r="E9" s="22"/>
      <c r="F9" s="22"/>
      <c r="G9" s="22"/>
      <c r="H9" s="22"/>
    </row>
    <row r="10" spans="1:11" x14ac:dyDescent="0.25">
      <c r="A10" t="s">
        <v>5</v>
      </c>
      <c r="B10" s="19">
        <v>39832319</v>
      </c>
      <c r="C10" s="19">
        <v>41997255</v>
      </c>
      <c r="D10" s="19">
        <v>62124429</v>
      </c>
      <c r="E10" s="19">
        <v>61896624</v>
      </c>
      <c r="F10" s="19">
        <v>63358943</v>
      </c>
      <c r="G10" s="19">
        <v>73093049</v>
      </c>
      <c r="H10" s="19"/>
    </row>
    <row r="11" spans="1:11" x14ac:dyDescent="0.25">
      <c r="A11" t="s">
        <v>25</v>
      </c>
      <c r="B11" s="19">
        <v>4995505</v>
      </c>
      <c r="C11" s="19">
        <v>5562292</v>
      </c>
      <c r="D11" s="19">
        <v>7475182</v>
      </c>
      <c r="E11" s="19">
        <v>7741026</v>
      </c>
      <c r="F11" s="19">
        <v>7872056</v>
      </c>
      <c r="G11" s="19">
        <v>9147920</v>
      </c>
      <c r="H11" s="19"/>
    </row>
    <row r="12" spans="1:11" x14ac:dyDescent="0.25">
      <c r="A12" t="s">
        <v>26</v>
      </c>
      <c r="B12" s="16">
        <f>B11/B10</f>
        <v>0.12541336094441299</v>
      </c>
      <c r="C12" s="16">
        <f t="shared" ref="C12:G12" si="1">C11/C10</f>
        <v>0.13244417998271554</v>
      </c>
      <c r="D12" s="16">
        <f t="shared" si="1"/>
        <v>0.12032596710063927</v>
      </c>
      <c r="E12" s="16">
        <f t="shared" si="1"/>
        <v>0.12506378376953159</v>
      </c>
      <c r="F12" s="16">
        <f t="shared" si="1"/>
        <v>0.12424538079809823</v>
      </c>
      <c r="G12" s="16">
        <f t="shared" si="1"/>
        <v>0.12515444526058833</v>
      </c>
      <c r="H12" s="16"/>
      <c r="I12" s="29">
        <f>AVERAGE(B12:G12)</f>
        <v>0.12544118630933099</v>
      </c>
    </row>
    <row r="13" spans="1:11" x14ac:dyDescent="0.25">
      <c r="E13" s="20"/>
      <c r="F13" s="20"/>
      <c r="G13" s="20"/>
      <c r="H13" s="20"/>
    </row>
    <row r="14" spans="1:11" x14ac:dyDescent="0.25">
      <c r="A14" t="s">
        <v>45</v>
      </c>
      <c r="E14" s="19">
        <v>0</v>
      </c>
      <c r="F14" s="19">
        <v>211843</v>
      </c>
      <c r="G14" s="20">
        <v>707668</v>
      </c>
      <c r="H14" s="20"/>
    </row>
    <row r="15" spans="1:11" x14ac:dyDescent="0.25">
      <c r="A15" t="s">
        <v>46</v>
      </c>
      <c r="E15" s="23">
        <f>E14/E8</f>
        <v>0</v>
      </c>
      <c r="F15" s="23">
        <f>F14/F8</f>
        <v>7.0928748654661332E-5</v>
      </c>
      <c r="G15" s="23">
        <f>G14/G8</f>
        <v>1.9042587078131081E-4</v>
      </c>
      <c r="H15" s="23"/>
    </row>
    <row r="16" spans="1:11" x14ac:dyDescent="0.25">
      <c r="E16" s="19"/>
      <c r="F16" s="19"/>
      <c r="G16" s="20"/>
      <c r="H16" s="20"/>
    </row>
    <row r="17" spans="1:16" x14ac:dyDescent="0.25">
      <c r="E17" s="22"/>
      <c r="F17" s="22"/>
      <c r="G17" s="22"/>
      <c r="H17" s="22"/>
    </row>
    <row r="18" spans="1:16" x14ac:dyDescent="0.25">
      <c r="A18" t="s">
        <v>47</v>
      </c>
      <c r="G18" s="2">
        <v>0</v>
      </c>
      <c r="H18" s="2"/>
    </row>
    <row r="20" spans="1:16" x14ac:dyDescent="0.25">
      <c r="E20" s="2"/>
      <c r="G20" s="24"/>
      <c r="H20" s="24"/>
      <c r="N20" s="2"/>
    </row>
    <row r="21" spans="1:16" x14ac:dyDescent="0.25">
      <c r="A21" s="1" t="s">
        <v>48</v>
      </c>
      <c r="B21" s="1"/>
      <c r="C21" s="1"/>
      <c r="D21" s="1"/>
      <c r="N21" s="25"/>
    </row>
    <row r="22" spans="1:16" x14ac:dyDescent="0.25">
      <c r="A22" t="s">
        <v>49</v>
      </c>
      <c r="E22" s="26">
        <f>AVERAGE(F15:G15)</f>
        <v>1.3067730971798606E-4</v>
      </c>
    </row>
    <row r="23" spans="1:16" x14ac:dyDescent="0.25">
      <c r="I23" s="26"/>
      <c r="J23" s="26"/>
    </row>
    <row r="24" spans="1:16" x14ac:dyDescent="0.25">
      <c r="A24" s="1"/>
      <c r="B24" s="1"/>
      <c r="C24" s="1"/>
      <c r="D24" s="1"/>
      <c r="E24" s="24"/>
      <c r="I24" s="26"/>
      <c r="J24" s="26"/>
    </row>
    <row r="25" spans="1:16" x14ac:dyDescent="0.25">
      <c r="I25" s="26"/>
      <c r="J25" s="26"/>
    </row>
    <row r="26" spans="1:16" x14ac:dyDescent="0.25">
      <c r="I26" s="26"/>
      <c r="J26" s="26"/>
    </row>
    <row r="27" spans="1:16" x14ac:dyDescent="0.25">
      <c r="E27" s="26"/>
      <c r="F27" s="24"/>
      <c r="G27" s="24"/>
      <c r="H27" s="24"/>
      <c r="I27" s="26"/>
      <c r="J27" s="26"/>
      <c r="N27" s="4"/>
      <c r="P27" s="27"/>
    </row>
    <row r="28" spans="1:16" x14ac:dyDescent="0.25">
      <c r="E28" s="26"/>
      <c r="F28" s="24"/>
      <c r="G28" s="24"/>
      <c r="H28" s="24"/>
      <c r="I28" s="26"/>
      <c r="J28" s="26"/>
    </row>
    <row r="29" spans="1:16" x14ac:dyDescent="0.25">
      <c r="F29" s="24"/>
      <c r="G29" s="24"/>
      <c r="H29" s="24"/>
      <c r="I29" s="26"/>
      <c r="J29" s="26"/>
    </row>
    <row r="30" spans="1:16" x14ac:dyDescent="0.25">
      <c r="E30" s="26"/>
      <c r="F30" s="24"/>
      <c r="G30" s="24"/>
      <c r="H30" s="24"/>
      <c r="I30" s="26"/>
      <c r="J30" s="26"/>
    </row>
    <row r="31" spans="1:16" x14ac:dyDescent="0.25">
      <c r="A31" s="1"/>
      <c r="B31" s="1"/>
      <c r="C31" s="1"/>
      <c r="D31" s="1"/>
      <c r="E31" s="28"/>
      <c r="F31" s="24"/>
      <c r="G31" s="24"/>
      <c r="H31" s="24"/>
      <c r="I31" s="26"/>
      <c r="J31" s="26"/>
    </row>
    <row r="32" spans="1:16" x14ac:dyDescent="0.25">
      <c r="A32" s="1"/>
      <c r="B32" s="1"/>
      <c r="C32" s="1"/>
      <c r="D32" s="1"/>
      <c r="E32" s="1"/>
      <c r="F32" s="24"/>
      <c r="G32" s="24"/>
      <c r="H32" s="24"/>
      <c r="I32" s="26"/>
      <c r="J32" s="26"/>
    </row>
    <row r="33" spans="1:10" x14ac:dyDescent="0.25">
      <c r="A33" s="1"/>
      <c r="B33" s="1"/>
      <c r="C33" s="1"/>
      <c r="D33" s="1"/>
      <c r="E33" s="1"/>
      <c r="F33" s="24"/>
      <c r="G33" s="24"/>
      <c r="H33" s="24"/>
      <c r="I33" s="26"/>
      <c r="J33" s="26"/>
    </row>
    <row r="34" spans="1:10" x14ac:dyDescent="0.25">
      <c r="A34" s="1"/>
      <c r="B34" s="1"/>
      <c r="C34" s="1"/>
      <c r="D34" s="1"/>
      <c r="E34" s="1"/>
      <c r="F34" s="24"/>
      <c r="G34" s="24"/>
      <c r="H34" s="24"/>
      <c r="I34" s="26"/>
      <c r="J34" s="26"/>
    </row>
    <row r="35" spans="1:10" x14ac:dyDescent="0.25">
      <c r="A35" s="1"/>
      <c r="B35" s="1"/>
      <c r="C35" s="1"/>
      <c r="D35" s="1"/>
      <c r="E35" s="1"/>
      <c r="F35" s="24"/>
      <c r="G35" s="24"/>
      <c r="H35" s="24"/>
      <c r="I35" s="26"/>
      <c r="J35" s="26"/>
    </row>
    <row r="36" spans="1:10" x14ac:dyDescent="0.25">
      <c r="A36" s="1"/>
      <c r="B36" s="1"/>
      <c r="C36" s="1"/>
      <c r="D36" s="1"/>
      <c r="E36" s="1"/>
      <c r="F36" s="24"/>
      <c r="G36" s="24"/>
      <c r="H36" s="24"/>
      <c r="I36" s="26"/>
      <c r="J36" s="26"/>
    </row>
    <row r="37" spans="1:10" x14ac:dyDescent="0.25">
      <c r="A37" s="1"/>
      <c r="B37" s="1"/>
      <c r="C37" s="1"/>
      <c r="D37" s="1"/>
      <c r="E37" s="1"/>
      <c r="F37" s="24"/>
      <c r="G37" s="24"/>
      <c r="H37" s="24"/>
      <c r="I37" s="26"/>
      <c r="J37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1CFB-D8C8-403E-BC0B-3F57B3C7A83B}">
  <dimension ref="B1:O29"/>
  <sheetViews>
    <sheetView zoomScale="115" zoomScaleNormal="115" workbookViewId="0">
      <selection activeCell="F33" sqref="F33:F34"/>
    </sheetView>
  </sheetViews>
  <sheetFormatPr defaultRowHeight="15" x14ac:dyDescent="0.25"/>
  <cols>
    <col min="2" max="2" width="44.42578125" customWidth="1"/>
  </cols>
  <sheetData>
    <row r="1" spans="2:15" x14ac:dyDescent="0.25">
      <c r="C1" s="1">
        <v>2016</v>
      </c>
      <c r="D1" s="7">
        <v>2017</v>
      </c>
      <c r="E1" s="7">
        <v>2018</v>
      </c>
      <c r="F1" s="7">
        <v>2019</v>
      </c>
      <c r="G1" s="7">
        <v>2020</v>
      </c>
      <c r="H1" s="8">
        <v>2021</v>
      </c>
      <c r="I1" s="8">
        <v>2022</v>
      </c>
      <c r="J1" s="8">
        <v>2023</v>
      </c>
      <c r="K1" s="8">
        <v>2024</v>
      </c>
      <c r="L1" s="8">
        <v>2025</v>
      </c>
      <c r="M1" s="9"/>
      <c r="N1" s="8" t="s">
        <v>9</v>
      </c>
      <c r="O1" s="8" t="s">
        <v>10</v>
      </c>
    </row>
    <row r="2" spans="2:15" x14ac:dyDescent="0.25">
      <c r="B2" s="8" t="s">
        <v>33</v>
      </c>
      <c r="C2" s="10"/>
      <c r="D2" s="10"/>
      <c r="E2" s="10"/>
      <c r="F2" s="10"/>
      <c r="G2" s="10">
        <v>15.83</v>
      </c>
      <c r="H2" s="9">
        <v>21.96</v>
      </c>
      <c r="I2" s="9"/>
      <c r="J2" s="9"/>
      <c r="K2" s="9"/>
      <c r="L2" s="9"/>
      <c r="M2" s="9"/>
      <c r="N2" s="9"/>
      <c r="O2" s="9"/>
    </row>
    <row r="3" spans="2:15" x14ac:dyDescent="0.25">
      <c r="B3" s="8" t="s">
        <v>39</v>
      </c>
      <c r="C3" s="10"/>
      <c r="D3" s="10"/>
      <c r="E3" s="10"/>
      <c r="F3" s="10"/>
      <c r="G3" s="10">
        <v>16.5</v>
      </c>
      <c r="H3" s="9">
        <v>22.35</v>
      </c>
      <c r="I3" s="9"/>
      <c r="J3" s="9"/>
      <c r="K3" s="9"/>
      <c r="L3" s="9"/>
      <c r="M3" s="9"/>
      <c r="N3" s="11"/>
      <c r="O3" s="11"/>
    </row>
    <row r="4" spans="2:15" x14ac:dyDescent="0.25">
      <c r="B4" s="8" t="s">
        <v>40</v>
      </c>
      <c r="C4" s="12"/>
      <c r="D4" s="12"/>
      <c r="E4" s="12"/>
      <c r="F4" s="12"/>
      <c r="G4" s="10">
        <v>15.9</v>
      </c>
      <c r="H4" s="9">
        <v>21.82</v>
      </c>
      <c r="I4" s="9"/>
      <c r="J4" s="9"/>
      <c r="K4" s="9"/>
      <c r="L4" s="9"/>
      <c r="M4" s="9"/>
      <c r="N4" s="11"/>
      <c r="O4" s="11"/>
    </row>
    <row r="5" spans="2:15" x14ac:dyDescent="0.25">
      <c r="B5" s="8" t="s">
        <v>11</v>
      </c>
      <c r="C5" s="10"/>
      <c r="D5" s="10"/>
      <c r="E5" s="10"/>
      <c r="F5" s="10"/>
      <c r="G5" s="10">
        <f t="shared" ref="G5:H5" si="0">G3-G2</f>
        <v>0.66999999999999993</v>
      </c>
      <c r="H5" s="10">
        <f t="shared" si="0"/>
        <v>0.39000000000000057</v>
      </c>
      <c r="I5" s="10"/>
      <c r="J5" s="9"/>
      <c r="K5" s="9"/>
      <c r="L5" s="9"/>
      <c r="M5" s="9"/>
      <c r="N5" s="11">
        <f>AVERAGE(G5:H5)</f>
        <v>0.53000000000000025</v>
      </c>
      <c r="O5" s="11"/>
    </row>
    <row r="6" spans="2:15" x14ac:dyDescent="0.25">
      <c r="B6" s="8" t="s">
        <v>12</v>
      </c>
      <c r="C6" s="10"/>
      <c r="D6" s="10"/>
      <c r="E6" s="10"/>
      <c r="F6" s="10"/>
      <c r="G6" s="10">
        <f t="shared" ref="G6:H6" si="1">G2-G4</f>
        <v>-7.0000000000000284E-2</v>
      </c>
      <c r="H6" s="10">
        <f t="shared" si="1"/>
        <v>0.14000000000000057</v>
      </c>
      <c r="I6" s="10"/>
      <c r="J6" s="9"/>
      <c r="K6" s="9"/>
      <c r="L6" s="9"/>
      <c r="M6" s="9"/>
      <c r="N6" s="11"/>
      <c r="O6" s="11">
        <f>AVERAGE(G6:H6)</f>
        <v>3.5000000000000142E-2</v>
      </c>
    </row>
    <row r="9" spans="2:15" x14ac:dyDescent="0.25">
      <c r="B9" s="8" t="s">
        <v>36</v>
      </c>
      <c r="C9" s="18">
        <v>25.83</v>
      </c>
      <c r="D9" s="18">
        <v>9.3699999999999992</v>
      </c>
      <c r="E9" s="18">
        <v>-14.31</v>
      </c>
      <c r="F9" s="18">
        <v>23.8</v>
      </c>
      <c r="G9" s="18">
        <v>8.4600000000000009</v>
      </c>
      <c r="H9" s="18">
        <v>35.4</v>
      </c>
      <c r="I9" s="18">
        <v>-10.23</v>
      </c>
    </row>
    <row r="10" spans="2:15" x14ac:dyDescent="0.25">
      <c r="B10" s="8" t="s">
        <v>41</v>
      </c>
      <c r="C10">
        <v>27.3</v>
      </c>
      <c r="D10">
        <v>9.92</v>
      </c>
      <c r="E10">
        <v>-13.84</v>
      </c>
      <c r="F10">
        <v>24.99</v>
      </c>
      <c r="G10">
        <v>9.67</v>
      </c>
      <c r="H10">
        <v>36.380000000000003</v>
      </c>
      <c r="I10">
        <v>-9.67</v>
      </c>
    </row>
    <row r="11" spans="2:15" x14ac:dyDescent="0.25">
      <c r="B11" s="8" t="s">
        <v>11</v>
      </c>
      <c r="C11" s="18">
        <f t="shared" ref="C11:H11" si="2">C10-C9</f>
        <v>1.4700000000000024</v>
      </c>
      <c r="D11" s="18">
        <f t="shared" si="2"/>
        <v>0.55000000000000071</v>
      </c>
      <c r="E11" s="18">
        <f t="shared" si="2"/>
        <v>0.47000000000000064</v>
      </c>
      <c r="F11" s="18">
        <f t="shared" si="2"/>
        <v>1.1899999999999977</v>
      </c>
      <c r="G11" s="18">
        <f t="shared" si="2"/>
        <v>1.2099999999999991</v>
      </c>
      <c r="H11" s="18">
        <f t="shared" si="2"/>
        <v>0.98000000000000398</v>
      </c>
      <c r="I11" s="18">
        <f>I10-I9</f>
        <v>0.5600000000000005</v>
      </c>
      <c r="N11" s="18">
        <f>AVERAGE(C11:I11)</f>
        <v>0.91857142857142926</v>
      </c>
    </row>
    <row r="12" spans="2:15" x14ac:dyDescent="0.25">
      <c r="N12" s="18"/>
    </row>
    <row r="13" spans="2:15" x14ac:dyDescent="0.25">
      <c r="N13" s="18"/>
    </row>
    <row r="14" spans="2:15" x14ac:dyDescent="0.25">
      <c r="N14" s="18"/>
    </row>
    <row r="15" spans="2:15" x14ac:dyDescent="0.25">
      <c r="B15" s="1" t="s">
        <v>37</v>
      </c>
      <c r="C15">
        <v>3.99</v>
      </c>
      <c r="D15">
        <v>13.01</v>
      </c>
      <c r="E15">
        <v>-18.170000000000002</v>
      </c>
      <c r="F15">
        <v>26.95</v>
      </c>
      <c r="G15">
        <v>-3.5</v>
      </c>
      <c r="H15">
        <v>28.3</v>
      </c>
      <c r="I15">
        <v>-14.27</v>
      </c>
      <c r="N15" s="18"/>
    </row>
    <row r="16" spans="2:15" x14ac:dyDescent="0.25">
      <c r="B16" s="1" t="s">
        <v>38</v>
      </c>
      <c r="C16">
        <v>4.33</v>
      </c>
      <c r="D16">
        <v>14.57</v>
      </c>
      <c r="E16">
        <v>-17.84</v>
      </c>
      <c r="F16">
        <v>27.3</v>
      </c>
      <c r="G16">
        <v>-2.5499999999999998</v>
      </c>
      <c r="H16">
        <v>29.44</v>
      </c>
      <c r="I16">
        <v>-14.06</v>
      </c>
      <c r="N16" s="18"/>
    </row>
    <row r="17" spans="2:15" x14ac:dyDescent="0.25">
      <c r="B17" s="8" t="s">
        <v>11</v>
      </c>
      <c r="C17" s="18">
        <f t="shared" ref="C17" si="3">C16-C15</f>
        <v>0.33999999999999986</v>
      </c>
      <c r="D17" s="18">
        <f t="shared" ref="D17" si="4">D16-D15</f>
        <v>1.5600000000000005</v>
      </c>
      <c r="E17" s="18">
        <f t="shared" ref="E17:H17" si="5">E16-E15</f>
        <v>0.33000000000000185</v>
      </c>
      <c r="F17" s="18">
        <f t="shared" si="5"/>
        <v>0.35000000000000142</v>
      </c>
      <c r="G17" s="18">
        <f t="shared" si="5"/>
        <v>0.95000000000000018</v>
      </c>
      <c r="H17" s="18">
        <f t="shared" si="5"/>
        <v>1.1400000000000006</v>
      </c>
      <c r="I17" s="18">
        <f>I16-I15</f>
        <v>0.20999999999999908</v>
      </c>
      <c r="N17" s="18">
        <f>AVERAGE(C17:I17)</f>
        <v>0.69714285714285762</v>
      </c>
    </row>
    <row r="18" spans="2:15" x14ac:dyDescent="0.25">
      <c r="B18" s="8"/>
      <c r="C18" s="18"/>
      <c r="D18" s="18"/>
      <c r="E18" s="18"/>
      <c r="F18" s="18"/>
      <c r="G18" s="18"/>
      <c r="H18" s="18"/>
      <c r="I18" s="18"/>
      <c r="N18" s="18"/>
    </row>
    <row r="20" spans="2:15" x14ac:dyDescent="0.25">
      <c r="B20" s="1" t="s">
        <v>56</v>
      </c>
      <c r="G20">
        <v>15.35</v>
      </c>
      <c r="H20">
        <v>18.25</v>
      </c>
      <c r="I20">
        <v>-17.52</v>
      </c>
      <c r="J20">
        <v>21.1</v>
      </c>
      <c r="K20">
        <v>16.13</v>
      </c>
    </row>
    <row r="21" spans="2:15" x14ac:dyDescent="0.25">
      <c r="B21" s="1" t="s">
        <v>58</v>
      </c>
      <c r="G21">
        <v>16.809999999999999</v>
      </c>
      <c r="H21">
        <v>18.71</v>
      </c>
      <c r="I21">
        <v>-18</v>
      </c>
      <c r="J21">
        <v>22.18</v>
      </c>
      <c r="K21">
        <v>16.89</v>
      </c>
    </row>
    <row r="22" spans="2:15" x14ac:dyDescent="0.25">
      <c r="B22" s="8" t="s">
        <v>11</v>
      </c>
      <c r="G22">
        <f>G21-G20</f>
        <v>1.4599999999999991</v>
      </c>
      <c r="H22">
        <f t="shared" ref="H22:K22" si="6">H21-H20</f>
        <v>0.46000000000000085</v>
      </c>
      <c r="I22">
        <f t="shared" si="6"/>
        <v>-0.48000000000000043</v>
      </c>
      <c r="J22">
        <f t="shared" si="6"/>
        <v>1.0799999999999983</v>
      </c>
      <c r="K22">
        <f t="shared" si="6"/>
        <v>0.76000000000000156</v>
      </c>
      <c r="N22" s="18">
        <f>AVERAGE(G22:K22)</f>
        <v>0.65599999999999992</v>
      </c>
    </row>
    <row r="23" spans="2:15" x14ac:dyDescent="0.25">
      <c r="B23" s="8"/>
    </row>
    <row r="25" spans="2:15" x14ac:dyDescent="0.25">
      <c r="B25" s="1" t="s">
        <v>57</v>
      </c>
      <c r="G25">
        <v>15.7</v>
      </c>
      <c r="H25">
        <v>18.59</v>
      </c>
      <c r="I25">
        <v>-18.3</v>
      </c>
      <c r="J25">
        <v>22.01</v>
      </c>
      <c r="K25">
        <v>17.36</v>
      </c>
      <c r="L25">
        <v>22.81</v>
      </c>
    </row>
    <row r="26" spans="2:15" x14ac:dyDescent="0.25">
      <c r="B26" s="1" t="s">
        <v>58</v>
      </c>
      <c r="G26">
        <v>16.82</v>
      </c>
      <c r="H26">
        <v>19.04</v>
      </c>
      <c r="I26">
        <v>-17.96</v>
      </c>
      <c r="J26">
        <v>22.81</v>
      </c>
      <c r="K26">
        <v>18.02</v>
      </c>
      <c r="L26">
        <v>22.87</v>
      </c>
    </row>
    <row r="27" spans="2:15" x14ac:dyDescent="0.25">
      <c r="B27" s="1" t="s">
        <v>59</v>
      </c>
      <c r="G27">
        <v>16.25</v>
      </c>
      <c r="H27">
        <v>18.54</v>
      </c>
      <c r="I27">
        <v>-18.36</v>
      </c>
      <c r="J27">
        <v>22.2</v>
      </c>
      <c r="K27">
        <v>17.489999999999998</v>
      </c>
      <c r="L27">
        <v>22.34</v>
      </c>
    </row>
    <row r="28" spans="2:15" x14ac:dyDescent="0.25">
      <c r="B28" s="8" t="s">
        <v>11</v>
      </c>
      <c r="G28">
        <f>G26-G25</f>
        <v>1.120000000000001</v>
      </c>
      <c r="H28">
        <f t="shared" ref="H28:L28" si="7">H26-H25</f>
        <v>0.44999999999999929</v>
      </c>
      <c r="I28">
        <f t="shared" si="7"/>
        <v>0.33999999999999986</v>
      </c>
      <c r="J28">
        <f t="shared" si="7"/>
        <v>0.79999999999999716</v>
      </c>
      <c r="K28">
        <f t="shared" si="7"/>
        <v>0.66000000000000014</v>
      </c>
      <c r="L28">
        <f t="shared" si="7"/>
        <v>6.0000000000002274E-2</v>
      </c>
      <c r="N28" s="18">
        <f>AVERAGE(G28:L28)</f>
        <v>0.57166666666666666</v>
      </c>
    </row>
    <row r="29" spans="2:15" x14ac:dyDescent="0.25">
      <c r="B29" s="8" t="s">
        <v>12</v>
      </c>
      <c r="G29" s="10">
        <f t="shared" ref="G29:L29" si="8">G25-G27</f>
        <v>-0.55000000000000071</v>
      </c>
      <c r="H29" s="10">
        <f t="shared" si="8"/>
        <v>5.0000000000000711E-2</v>
      </c>
      <c r="I29" s="10">
        <f t="shared" si="8"/>
        <v>5.9999999999998721E-2</v>
      </c>
      <c r="J29" s="10">
        <f t="shared" si="8"/>
        <v>-0.18999999999999773</v>
      </c>
      <c r="K29" s="10">
        <f t="shared" si="8"/>
        <v>-0.12999999999999901</v>
      </c>
      <c r="L29" s="10">
        <f t="shared" si="8"/>
        <v>0.46999999999999886</v>
      </c>
      <c r="O29" s="11">
        <f>AVERAGE(G29:L29)</f>
        <v>-4.8333333333333194E-2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SWRD</vt:lpstr>
      <vt:lpstr>ZPRV</vt:lpstr>
      <vt:lpstr>ZPRX</vt:lpstr>
      <vt:lpstr>SPYI</vt:lpstr>
      <vt:lpstr>SPYY</vt:lpstr>
      <vt:lpstr>TrackingDiff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 van Loon</cp:lastModifiedBy>
  <dcterms:created xsi:type="dcterms:W3CDTF">2021-04-07T18:39:57Z</dcterms:created>
  <dcterms:modified xsi:type="dcterms:W3CDTF">2026-05-02T07:51:12Z</dcterms:modified>
</cp:coreProperties>
</file>