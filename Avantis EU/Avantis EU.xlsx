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Avantis EU/"/>
    </mc:Choice>
  </mc:AlternateContent>
  <xr:revisionPtr revIDLastSave="1115" documentId="8_{F0B8999D-9BF9-463A-A515-6683C4D9B0FF}" xr6:coauthVersionLast="47" xr6:coauthVersionMax="47" xr10:uidLastSave="{FB221D0D-8E2D-4CCF-8E2C-4859B3483156}"/>
  <bookViews>
    <workbookView xWindow="25695" yWindow="0" windowWidth="26010" windowHeight="20985" activeTab="3" xr2:uid="{CB9E69B2-3CC2-4CB8-BB0A-750BABFBC08D}"/>
  </bookViews>
  <sheets>
    <sheet name="AVWC" sheetId="1" r:id="rId1"/>
    <sheet name="AVWS" sheetId="8" r:id="rId2"/>
    <sheet name="AVEM" sheetId="9" r:id="rId3"/>
    <sheet name="RR C-P" sheetId="10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0" l="1"/>
  <c r="B5" i="10"/>
  <c r="B33" i="9"/>
  <c r="B32" i="9"/>
  <c r="A32" i="9"/>
  <c r="B7" i="9"/>
  <c r="B16" i="9"/>
  <c r="B10" i="9"/>
  <c r="B13" i="9"/>
  <c r="B29" i="9"/>
  <c r="E4" i="10"/>
  <c r="B23" i="9"/>
  <c r="B30" i="9"/>
  <c r="E6" i="10"/>
  <c r="B19" i="9"/>
  <c r="B31" i="9"/>
  <c r="E7" i="10"/>
  <c r="B28" i="9"/>
  <c r="E8" i="10"/>
  <c r="E3" i="10"/>
  <c r="D4" i="10"/>
  <c r="D6" i="10"/>
  <c r="D7" i="10"/>
  <c r="D8" i="10"/>
  <c r="D3" i="10"/>
  <c r="C4" i="10"/>
  <c r="C6" i="10"/>
  <c r="C7" i="10"/>
  <c r="C8" i="10"/>
  <c r="C3" i="10"/>
  <c r="E2" i="10"/>
  <c r="D2" i="10"/>
  <c r="C2" i="10"/>
  <c r="B4" i="10"/>
  <c r="B6" i="10"/>
  <c r="B7" i="10"/>
  <c r="B8" i="10"/>
  <c r="B3" i="10"/>
  <c r="B29" i="8"/>
  <c r="B29" i="1"/>
  <c r="A30" i="9"/>
  <c r="A29" i="9"/>
  <c r="A28" i="9"/>
  <c r="B27" i="9"/>
  <c r="D23" i="9"/>
  <c r="D13" i="9"/>
  <c r="B12" i="9"/>
  <c r="D12" i="9"/>
  <c r="B11" i="9"/>
  <c r="D11" i="9"/>
  <c r="B25" i="8"/>
  <c r="B7" i="8"/>
  <c r="B13" i="8"/>
  <c r="B26" i="8"/>
  <c r="B20" i="8"/>
  <c r="B27" i="8"/>
  <c r="B16" i="8"/>
  <c r="B28" i="8"/>
  <c r="A27" i="8"/>
  <c r="A26" i="8"/>
  <c r="A25" i="8"/>
  <c r="B24" i="8"/>
  <c r="D20" i="8"/>
  <c r="D13" i="8"/>
  <c r="B12" i="8"/>
  <c r="D12" i="8"/>
  <c r="B11" i="8"/>
  <c r="D11" i="8"/>
  <c r="B7" i="1"/>
  <c r="B16" i="1"/>
  <c r="B28" i="1"/>
  <c r="B25" i="1"/>
  <c r="B13" i="1"/>
  <c r="B26" i="1"/>
  <c r="B20" i="1"/>
  <c r="B27" i="1"/>
  <c r="B24" i="1"/>
  <c r="A27" i="1"/>
  <c r="A26" i="1"/>
  <c r="A25" i="1"/>
  <c r="D20" i="1"/>
  <c r="D13" i="1"/>
  <c r="B11" i="1"/>
  <c r="D11" i="1"/>
  <c r="B12" i="1"/>
  <c r="D12" i="1"/>
</calcChain>
</file>

<file path=xl/sharedStrings.xml><?xml version="1.0" encoding="utf-8"?>
<sst xmlns="http://schemas.openxmlformats.org/spreadsheetml/2006/main" count="62" uniqueCount="26">
  <si>
    <t>TER</t>
  </si>
  <si>
    <t>Transaction costs</t>
  </si>
  <si>
    <t>Transaction costs %</t>
  </si>
  <si>
    <t>Operating Expenses</t>
  </si>
  <si>
    <t>Dividend income</t>
  </si>
  <si>
    <t>Average AUM</t>
  </si>
  <si>
    <t>AVG</t>
  </si>
  <si>
    <t>AUM end of bookyear</t>
  </si>
  <si>
    <t>Foreign Withholding Tax</t>
  </si>
  <si>
    <t>Dividend leakage</t>
  </si>
  <si>
    <t>% dividend</t>
  </si>
  <si>
    <t>% dividend leakage costs</t>
  </si>
  <si>
    <t>Total</t>
  </si>
  <si>
    <t>Securities lending income</t>
  </si>
  <si>
    <t>% lending income</t>
  </si>
  <si>
    <t>AVWC</t>
  </si>
  <si>
    <t>Securities on loan</t>
  </si>
  <si>
    <t>Lending income</t>
  </si>
  <si>
    <t>AVWS</t>
  </si>
  <si>
    <t>Avantis Global Small Cap Value UCITS ETF</t>
  </si>
  <si>
    <t>Avantis Global Equity UCITS ETF</t>
  </si>
  <si>
    <t>AVEM</t>
  </si>
  <si>
    <t>Avantis Emerging Markets Equity UCITS ETF</t>
  </si>
  <si>
    <t>Capital gains tax</t>
  </si>
  <si>
    <t>% capital gains tax costs</t>
  </si>
  <si>
    <t>KIID stated transaction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</si>
</sst>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0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0" fontId="2" fillId="2" borderId="0" xfId="0" applyFont="1" applyFill="1"/>
    <xf numFmtId="0" fontId="0" fillId="2" borderId="0" xfId="0" applyFill="1"/>
    <xf numFmtId="165" fontId="0" fillId="0" borderId="0" xfId="2" applyNumberFormat="1" applyFont="1"/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07D5-EEB2-41AB-8623-15D282634442}">
  <dimension ref="A1:D29"/>
  <sheetViews>
    <sheetView zoomScale="160" zoomScaleNormal="160" workbookViewId="0">
      <selection activeCell="D29" sqref="D29"/>
    </sheetView>
  </sheetViews>
  <sheetFormatPr defaultRowHeight="15" x14ac:dyDescent="0.25"/>
  <cols>
    <col min="1" max="1" width="25.28515625" customWidth="1"/>
    <col min="2" max="2" width="14.7109375" customWidth="1"/>
  </cols>
  <sheetData>
    <row r="1" spans="1:4" x14ac:dyDescent="0.25">
      <c r="A1" s="5" t="s">
        <v>20</v>
      </c>
      <c r="B1" s="6"/>
      <c r="C1" s="6"/>
      <c r="D1" s="6"/>
    </row>
    <row r="3" spans="1:4" x14ac:dyDescent="0.25">
      <c r="A3" s="1"/>
      <c r="B3" s="1">
        <v>2025</v>
      </c>
      <c r="D3" s="1" t="s">
        <v>6</v>
      </c>
    </row>
    <row r="4" spans="1:4" x14ac:dyDescent="0.25">
      <c r="A4" t="s">
        <v>7</v>
      </c>
      <c r="B4" s="3">
        <v>450218020</v>
      </c>
    </row>
    <row r="5" spans="1:4" x14ac:dyDescent="0.25">
      <c r="A5" t="s">
        <v>0</v>
      </c>
      <c r="B5" s="2">
        <v>2.2000000000000001E-3</v>
      </c>
      <c r="D5" s="2"/>
    </row>
    <row r="6" spans="1:4" x14ac:dyDescent="0.25">
      <c r="A6" t="s">
        <v>3</v>
      </c>
      <c r="B6" s="3">
        <v>735849</v>
      </c>
      <c r="D6" s="2"/>
    </row>
    <row r="7" spans="1:4" x14ac:dyDescent="0.25">
      <c r="A7" t="s">
        <v>5</v>
      </c>
      <c r="B7" s="3">
        <f t="shared" ref="B7" si="0">B6/B5</f>
        <v>334476818.18181819</v>
      </c>
      <c r="D7" s="2"/>
    </row>
    <row r="8" spans="1:4" x14ac:dyDescent="0.25">
      <c r="D8" s="2"/>
    </row>
    <row r="9" spans="1:4" x14ac:dyDescent="0.25">
      <c r="A9" t="s">
        <v>4</v>
      </c>
      <c r="B9" s="3">
        <v>6443236</v>
      </c>
      <c r="D9" s="2"/>
    </row>
    <row r="10" spans="1:4" x14ac:dyDescent="0.25">
      <c r="A10" t="s">
        <v>8</v>
      </c>
      <c r="B10" s="3">
        <v>814806</v>
      </c>
      <c r="D10" s="2"/>
    </row>
    <row r="11" spans="1:4" x14ac:dyDescent="0.25">
      <c r="A11" t="s">
        <v>9</v>
      </c>
      <c r="B11" s="7">
        <f>B10/B9</f>
        <v>0.12645912705975693</v>
      </c>
      <c r="D11" s="2">
        <f>AVERAGE(B11:B11)</f>
        <v>0.12645912705975693</v>
      </c>
    </row>
    <row r="12" spans="1:4" x14ac:dyDescent="0.25">
      <c r="A12" t="s">
        <v>10</v>
      </c>
      <c r="B12" s="4">
        <f>B9/B7</f>
        <v>1.9263625010022437E-2</v>
      </c>
      <c r="D12" s="2">
        <f>AVERAGE(B12:B12)</f>
        <v>1.9263625010022437E-2</v>
      </c>
    </row>
    <row r="13" spans="1:4" x14ac:dyDescent="0.25">
      <c r="A13" t="s">
        <v>11</v>
      </c>
      <c r="B13" s="4">
        <f>B10/B7</f>
        <v>2.4360612027739385E-3</v>
      </c>
      <c r="D13" s="2">
        <f>AVERAGE(B13:B13)</f>
        <v>2.4360612027739385E-3</v>
      </c>
    </row>
    <row r="14" spans="1:4" x14ac:dyDescent="0.25">
      <c r="B14" s="4"/>
      <c r="D14" s="2"/>
    </row>
    <row r="15" spans="1:4" x14ac:dyDescent="0.25">
      <c r="A15" t="s">
        <v>13</v>
      </c>
      <c r="B15" s="3">
        <v>0</v>
      </c>
      <c r="D15" s="2"/>
    </row>
    <row r="16" spans="1:4" x14ac:dyDescent="0.25">
      <c r="A16" t="s">
        <v>14</v>
      </c>
      <c r="B16" s="4">
        <f>B15/B7</f>
        <v>0</v>
      </c>
      <c r="D16" s="2"/>
    </row>
    <row r="17" spans="1:4" x14ac:dyDescent="0.25">
      <c r="A17" t="s">
        <v>16</v>
      </c>
      <c r="B17" s="4">
        <v>0</v>
      </c>
      <c r="D17" s="2"/>
    </row>
    <row r="18" spans="1:4" x14ac:dyDescent="0.25">
      <c r="D18" s="2"/>
    </row>
    <row r="19" spans="1:4" x14ac:dyDescent="0.25">
      <c r="A19" t="s">
        <v>1</v>
      </c>
      <c r="B19" s="3">
        <v>134610</v>
      </c>
      <c r="D19" s="2"/>
    </row>
    <row r="20" spans="1:4" x14ac:dyDescent="0.25">
      <c r="A20" t="s">
        <v>2</v>
      </c>
      <c r="B20" s="8">
        <f>B19/B7</f>
        <v>4.0244941557303197E-4</v>
      </c>
      <c r="D20" s="2">
        <f>AVERAGE(B20:B20)</f>
        <v>4.0244941557303197E-4</v>
      </c>
    </row>
    <row r="21" spans="1:4" x14ac:dyDescent="0.25">
      <c r="B21" s="8"/>
      <c r="D21" s="2"/>
    </row>
    <row r="22" spans="1:4" x14ac:dyDescent="0.25">
      <c r="A22" t="s">
        <v>25</v>
      </c>
      <c r="B22" s="8">
        <v>1E-4</v>
      </c>
      <c r="D22" s="2"/>
    </row>
    <row r="24" spans="1:4" x14ac:dyDescent="0.25">
      <c r="A24" s="1" t="s">
        <v>15</v>
      </c>
      <c r="B24" s="1">
        <f>B3</f>
        <v>2025</v>
      </c>
    </row>
    <row r="25" spans="1:4" x14ac:dyDescent="0.25">
      <c r="A25" t="str">
        <f>A5</f>
        <v>TER</v>
      </c>
      <c r="B25" s="4">
        <f>B5</f>
        <v>2.2000000000000001E-3</v>
      </c>
    </row>
    <row r="26" spans="1:4" x14ac:dyDescent="0.25">
      <c r="A26" t="str">
        <f>A11</f>
        <v>Dividend leakage</v>
      </c>
      <c r="B26" s="4">
        <f>B13</f>
        <v>2.4360612027739385E-3</v>
      </c>
    </row>
    <row r="27" spans="1:4" x14ac:dyDescent="0.25">
      <c r="A27" t="str">
        <f>A19</f>
        <v>Transaction costs</v>
      </c>
      <c r="B27" s="4">
        <f>B20</f>
        <v>4.0244941557303197E-4</v>
      </c>
    </row>
    <row r="28" spans="1:4" x14ac:dyDescent="0.25">
      <c r="A28" t="s">
        <v>17</v>
      </c>
      <c r="B28" s="4">
        <f>B16</f>
        <v>0</v>
      </c>
    </row>
    <row r="29" spans="1:4" x14ac:dyDescent="0.25">
      <c r="A29" t="s">
        <v>12</v>
      </c>
      <c r="B29" s="2">
        <f>SUM(B25:B28)</f>
        <v>5.0385106183469704E-3</v>
      </c>
      <c r="C2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849-6C4C-4B3E-B444-4DE1981ECF2B}">
  <dimension ref="A1:D29"/>
  <sheetViews>
    <sheetView zoomScale="160" zoomScaleNormal="160" workbookViewId="0">
      <selection activeCell="B30" sqref="B30"/>
    </sheetView>
  </sheetViews>
  <sheetFormatPr defaultRowHeight="15" x14ac:dyDescent="0.25"/>
  <cols>
    <col min="1" max="1" width="25.28515625" customWidth="1"/>
    <col min="2" max="2" width="14.7109375" customWidth="1"/>
  </cols>
  <sheetData>
    <row r="1" spans="1:4" x14ac:dyDescent="0.25">
      <c r="A1" s="5" t="s">
        <v>19</v>
      </c>
      <c r="B1" s="6"/>
      <c r="C1" s="6"/>
      <c r="D1" s="6"/>
    </row>
    <row r="3" spans="1:4" x14ac:dyDescent="0.25">
      <c r="A3" s="1"/>
      <c r="B3" s="1">
        <v>2025</v>
      </c>
      <c r="D3" s="1" t="s">
        <v>6</v>
      </c>
    </row>
    <row r="4" spans="1:4" x14ac:dyDescent="0.25">
      <c r="A4" t="s">
        <v>7</v>
      </c>
      <c r="B4" s="3">
        <v>843294218</v>
      </c>
    </row>
    <row r="5" spans="1:4" x14ac:dyDescent="0.25">
      <c r="A5" t="s">
        <v>0</v>
      </c>
      <c r="B5" s="2">
        <v>3.8999999999999998E-3</v>
      </c>
      <c r="D5" s="2"/>
    </row>
    <row r="6" spans="1:4" x14ac:dyDescent="0.25">
      <c r="A6" t="s">
        <v>3</v>
      </c>
      <c r="B6" s="3">
        <v>1746350</v>
      </c>
      <c r="D6" s="2"/>
    </row>
    <row r="7" spans="1:4" x14ac:dyDescent="0.25">
      <c r="A7" t="s">
        <v>5</v>
      </c>
      <c r="B7" s="3">
        <f t="shared" ref="B7" si="0">B6/B5</f>
        <v>447782051.28205132</v>
      </c>
      <c r="D7" s="2"/>
    </row>
    <row r="8" spans="1:4" x14ac:dyDescent="0.25">
      <c r="D8" s="2"/>
    </row>
    <row r="9" spans="1:4" x14ac:dyDescent="0.25">
      <c r="A9" t="s">
        <v>4</v>
      </c>
      <c r="B9" s="3">
        <v>10990095</v>
      </c>
      <c r="D9" s="2"/>
    </row>
    <row r="10" spans="1:4" x14ac:dyDescent="0.25">
      <c r="A10" t="s">
        <v>8</v>
      </c>
      <c r="B10" s="3">
        <v>1279263</v>
      </c>
      <c r="D10" s="2"/>
    </row>
    <row r="11" spans="1:4" x14ac:dyDescent="0.25">
      <c r="A11" t="s">
        <v>9</v>
      </c>
      <c r="B11" s="7">
        <f>B10/B9</f>
        <v>0.11640145057890765</v>
      </c>
      <c r="D11" s="2">
        <f>AVERAGE(B11:B11)</f>
        <v>0.11640145057890765</v>
      </c>
    </row>
    <row r="12" spans="1:4" x14ac:dyDescent="0.25">
      <c r="A12" t="s">
        <v>10</v>
      </c>
      <c r="B12" s="4">
        <f>B9/B7</f>
        <v>2.4543402238955535E-2</v>
      </c>
      <c r="D12" s="2">
        <f>AVERAGE(B12:B12)</f>
        <v>2.4543402238955535E-2</v>
      </c>
    </row>
    <row r="13" spans="1:4" x14ac:dyDescent="0.25">
      <c r="A13" t="s">
        <v>11</v>
      </c>
      <c r="B13" s="4">
        <f>B10/B7</f>
        <v>2.8568876227560336E-3</v>
      </c>
      <c r="D13" s="2">
        <f>AVERAGE(B13:B13)</f>
        <v>2.8568876227560336E-3</v>
      </c>
    </row>
    <row r="14" spans="1:4" x14ac:dyDescent="0.25">
      <c r="B14" s="4"/>
      <c r="D14" s="2"/>
    </row>
    <row r="15" spans="1:4" x14ac:dyDescent="0.25">
      <c r="A15" t="s">
        <v>13</v>
      </c>
      <c r="B15" s="3">
        <v>0</v>
      </c>
      <c r="D15" s="2"/>
    </row>
    <row r="16" spans="1:4" x14ac:dyDescent="0.25">
      <c r="A16" t="s">
        <v>14</v>
      </c>
      <c r="B16" s="4">
        <f>B15/B7</f>
        <v>0</v>
      </c>
      <c r="D16" s="2"/>
    </row>
    <row r="17" spans="1:4" x14ac:dyDescent="0.25">
      <c r="A17" t="s">
        <v>16</v>
      </c>
      <c r="B17" s="4">
        <v>0</v>
      </c>
      <c r="D17" s="2"/>
    </row>
    <row r="18" spans="1:4" x14ac:dyDescent="0.25">
      <c r="D18" s="2"/>
    </row>
    <row r="19" spans="1:4" x14ac:dyDescent="0.25">
      <c r="A19" t="s">
        <v>1</v>
      </c>
      <c r="B19" s="3">
        <v>404112</v>
      </c>
      <c r="D19" s="2"/>
    </row>
    <row r="20" spans="1:4" x14ac:dyDescent="0.25">
      <c r="A20" t="s">
        <v>2</v>
      </c>
      <c r="B20" s="8">
        <f>B19/B7</f>
        <v>9.0247476164571807E-4</v>
      </c>
      <c r="D20" s="2">
        <f>AVERAGE(B20:B20)</f>
        <v>9.0247476164571807E-4</v>
      </c>
    </row>
    <row r="21" spans="1:4" x14ac:dyDescent="0.25">
      <c r="B21" s="8"/>
      <c r="D21" s="2"/>
    </row>
    <row r="22" spans="1:4" x14ac:dyDescent="0.25">
      <c r="A22" t="s">
        <v>25</v>
      </c>
      <c r="B22" s="8">
        <v>0</v>
      </c>
      <c r="D22" s="2"/>
    </row>
    <row r="24" spans="1:4" x14ac:dyDescent="0.25">
      <c r="A24" s="1" t="s">
        <v>18</v>
      </c>
      <c r="B24" s="1">
        <f>B3</f>
        <v>2025</v>
      </c>
    </row>
    <row r="25" spans="1:4" x14ac:dyDescent="0.25">
      <c r="A25" t="str">
        <f>A5</f>
        <v>TER</v>
      </c>
      <c r="B25" s="4">
        <f>B5</f>
        <v>3.8999999999999998E-3</v>
      </c>
    </row>
    <row r="26" spans="1:4" x14ac:dyDescent="0.25">
      <c r="A26" t="str">
        <f>A11</f>
        <v>Dividend leakage</v>
      </c>
      <c r="B26" s="4">
        <f>B13</f>
        <v>2.8568876227560336E-3</v>
      </c>
    </row>
    <row r="27" spans="1:4" x14ac:dyDescent="0.25">
      <c r="A27" t="str">
        <f>A19</f>
        <v>Transaction costs</v>
      </c>
      <c r="B27" s="4">
        <f>B20</f>
        <v>9.0247476164571807E-4</v>
      </c>
    </row>
    <row r="28" spans="1:4" x14ac:dyDescent="0.25">
      <c r="A28" t="s">
        <v>17</v>
      </c>
      <c r="B28" s="4">
        <f>B16</f>
        <v>0</v>
      </c>
    </row>
    <row r="29" spans="1:4" x14ac:dyDescent="0.25">
      <c r="A29" t="s">
        <v>12</v>
      </c>
      <c r="B29" s="2">
        <f>SUM(B25:B28)</f>
        <v>7.659362384401752E-3</v>
      </c>
      <c r="C2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4C13-E43E-4A38-B77C-C094CA1977F0}">
  <dimension ref="A1:D33"/>
  <sheetViews>
    <sheetView zoomScale="145" zoomScaleNormal="145" workbookViewId="0">
      <selection activeCell="B34" sqref="B34"/>
    </sheetView>
  </sheetViews>
  <sheetFormatPr defaultRowHeight="15" x14ac:dyDescent="0.25"/>
  <cols>
    <col min="1" max="1" width="25.28515625" customWidth="1"/>
    <col min="2" max="2" width="14.7109375" customWidth="1"/>
  </cols>
  <sheetData>
    <row r="1" spans="1:4" x14ac:dyDescent="0.25">
      <c r="A1" s="5" t="s">
        <v>22</v>
      </c>
      <c r="B1" s="6"/>
      <c r="C1" s="6"/>
      <c r="D1" s="6"/>
    </row>
    <row r="3" spans="1:4" x14ac:dyDescent="0.25">
      <c r="A3" s="1"/>
      <c r="B3" s="1">
        <v>2025</v>
      </c>
      <c r="D3" s="1" t="s">
        <v>6</v>
      </c>
    </row>
    <row r="4" spans="1:4" x14ac:dyDescent="0.25">
      <c r="A4" t="s">
        <v>7</v>
      </c>
      <c r="B4" s="3">
        <v>113897172</v>
      </c>
    </row>
    <row r="5" spans="1:4" x14ac:dyDescent="0.25">
      <c r="A5" t="s">
        <v>0</v>
      </c>
      <c r="B5" s="2">
        <v>3.5000000000000001E-3</v>
      </c>
      <c r="D5" s="2"/>
    </row>
    <row r="6" spans="1:4" x14ac:dyDescent="0.25">
      <c r="A6" t="s">
        <v>3</v>
      </c>
      <c r="B6" s="3">
        <v>195814</v>
      </c>
      <c r="D6" s="2"/>
    </row>
    <row r="7" spans="1:4" x14ac:dyDescent="0.25">
      <c r="A7" t="s">
        <v>5</v>
      </c>
      <c r="B7" s="3">
        <f t="shared" ref="B7" si="0">B6/B5</f>
        <v>55946857.142857142</v>
      </c>
      <c r="D7" s="2"/>
    </row>
    <row r="8" spans="1:4" x14ac:dyDescent="0.25">
      <c r="D8" s="2"/>
    </row>
    <row r="9" spans="1:4" x14ac:dyDescent="0.25">
      <c r="A9" t="s">
        <v>4</v>
      </c>
      <c r="B9" s="3">
        <v>1691371</v>
      </c>
      <c r="D9" s="2"/>
    </row>
    <row r="10" spans="1:4" x14ac:dyDescent="0.25">
      <c r="A10" t="s">
        <v>8</v>
      </c>
      <c r="B10" s="3">
        <f>215395</f>
        <v>215395</v>
      </c>
      <c r="D10" s="2"/>
    </row>
    <row r="11" spans="1:4" x14ac:dyDescent="0.25">
      <c r="A11" t="s">
        <v>9</v>
      </c>
      <c r="B11" s="7">
        <f>B10/B9</f>
        <v>0.12734935150242022</v>
      </c>
      <c r="D11" s="2">
        <f>AVERAGE(B11:B11)</f>
        <v>0.12734935150242022</v>
      </c>
    </row>
    <row r="12" spans="1:4" x14ac:dyDescent="0.25">
      <c r="A12" t="s">
        <v>10</v>
      </c>
      <c r="B12" s="4">
        <f>B9/B7</f>
        <v>3.0231742878445874E-2</v>
      </c>
      <c r="D12" s="2">
        <f>AVERAGE(B12:B12)</f>
        <v>3.0231742878445874E-2</v>
      </c>
    </row>
    <row r="13" spans="1:4" x14ac:dyDescent="0.25">
      <c r="A13" t="s">
        <v>11</v>
      </c>
      <c r="B13" s="4">
        <f>B10/B7</f>
        <v>3.8499928503579928E-3</v>
      </c>
      <c r="D13" s="2">
        <f>AVERAGE(B13:B13)</f>
        <v>3.8499928503579928E-3</v>
      </c>
    </row>
    <row r="14" spans="1:4" x14ac:dyDescent="0.25">
      <c r="B14" s="4"/>
      <c r="D14" s="2"/>
    </row>
    <row r="15" spans="1:4" x14ac:dyDescent="0.25">
      <c r="A15" t="s">
        <v>23</v>
      </c>
      <c r="B15" s="3">
        <v>169763</v>
      </c>
      <c r="D15" s="2"/>
    </row>
    <row r="16" spans="1:4" x14ac:dyDescent="0.25">
      <c r="A16" t="s">
        <v>24</v>
      </c>
      <c r="B16" s="4">
        <f>B15/B7</f>
        <v>3.0343616901753706E-3</v>
      </c>
      <c r="D16" s="2"/>
    </row>
    <row r="17" spans="1:4" x14ac:dyDescent="0.25">
      <c r="B17" s="4"/>
      <c r="D17" s="2"/>
    </row>
    <row r="18" spans="1:4" x14ac:dyDescent="0.25">
      <c r="A18" t="s">
        <v>13</v>
      </c>
      <c r="B18" s="3">
        <v>0</v>
      </c>
      <c r="D18" s="2"/>
    </row>
    <row r="19" spans="1:4" x14ac:dyDescent="0.25">
      <c r="A19" t="s">
        <v>14</v>
      </c>
      <c r="B19" s="4">
        <f>B18/B7</f>
        <v>0</v>
      </c>
      <c r="D19" s="2"/>
    </row>
    <row r="20" spans="1:4" x14ac:dyDescent="0.25">
      <c r="A20" t="s">
        <v>16</v>
      </c>
      <c r="B20" s="4">
        <v>0</v>
      </c>
      <c r="D20" s="2"/>
    </row>
    <row r="21" spans="1:4" x14ac:dyDescent="0.25">
      <c r="D21" s="2"/>
    </row>
    <row r="22" spans="1:4" x14ac:dyDescent="0.25">
      <c r="A22" t="s">
        <v>1</v>
      </c>
      <c r="B22" s="3">
        <v>219809</v>
      </c>
      <c r="D22" s="2"/>
    </row>
    <row r="23" spans="1:4" x14ac:dyDescent="0.25">
      <c r="A23" t="s">
        <v>2</v>
      </c>
      <c r="B23" s="8">
        <f>B22/B7</f>
        <v>3.9288891499075652E-3</v>
      </c>
      <c r="D23" s="2">
        <f>AVERAGE(B23:B23)</f>
        <v>3.9288891499075652E-3</v>
      </c>
    </row>
    <row r="24" spans="1:4" x14ac:dyDescent="0.25">
      <c r="B24" s="8"/>
      <c r="D24" s="2"/>
    </row>
    <row r="25" spans="1:4" x14ac:dyDescent="0.25">
      <c r="A25" t="s">
        <v>25</v>
      </c>
      <c r="B25" s="8">
        <v>2.9999999999999997E-4</v>
      </c>
      <c r="D25" s="2"/>
    </row>
    <row r="27" spans="1:4" x14ac:dyDescent="0.25">
      <c r="A27" s="1" t="s">
        <v>21</v>
      </c>
      <c r="B27" s="1">
        <f>B3</f>
        <v>2025</v>
      </c>
    </row>
    <row r="28" spans="1:4" x14ac:dyDescent="0.25">
      <c r="A28" t="str">
        <f>A5</f>
        <v>TER</v>
      </c>
      <c r="B28" s="4">
        <f>B5</f>
        <v>3.5000000000000001E-3</v>
      </c>
    </row>
    <row r="29" spans="1:4" x14ac:dyDescent="0.25">
      <c r="A29" t="str">
        <f>A11</f>
        <v>Dividend leakage</v>
      </c>
      <c r="B29" s="4">
        <f>B13</f>
        <v>3.8499928503579928E-3</v>
      </c>
    </row>
    <row r="30" spans="1:4" x14ac:dyDescent="0.25">
      <c r="A30" t="str">
        <f>A22</f>
        <v>Transaction costs</v>
      </c>
      <c r="B30" s="4">
        <f>B23</f>
        <v>3.9288891499075652E-3</v>
      </c>
    </row>
    <row r="31" spans="1:4" x14ac:dyDescent="0.25">
      <c r="A31" t="s">
        <v>17</v>
      </c>
      <c r="B31" s="4">
        <f>B19</f>
        <v>0</v>
      </c>
    </row>
    <row r="32" spans="1:4" x14ac:dyDescent="0.25">
      <c r="A32" t="str">
        <f>A15</f>
        <v>Capital gains tax</v>
      </c>
      <c r="B32" s="4">
        <f>B16</f>
        <v>3.0343616901753706E-3</v>
      </c>
    </row>
    <row r="33" spans="1:3" x14ac:dyDescent="0.25">
      <c r="A33" t="s">
        <v>12</v>
      </c>
      <c r="B33" s="2">
        <f>SUM(B28:B32)</f>
        <v>1.431324369044093E-2</v>
      </c>
      <c r="C33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5791-F48B-40BC-A7AD-7B13AED43001}">
  <dimension ref="B2:E8"/>
  <sheetViews>
    <sheetView tabSelected="1" zoomScale="235" zoomScaleNormal="235" workbookViewId="0">
      <selection activeCell="E11" sqref="E11"/>
    </sheetView>
  </sheetViews>
  <sheetFormatPr defaultRowHeight="15" x14ac:dyDescent="0.25"/>
  <cols>
    <col min="2" max="2" width="19.42578125" customWidth="1"/>
  </cols>
  <sheetData>
    <row r="2" spans="2:5" x14ac:dyDescent="0.25">
      <c r="C2" t="str">
        <f>AVWC!A24</f>
        <v>AVWC</v>
      </c>
      <c r="D2" t="str">
        <f>AVWS!A24</f>
        <v>AVWS</v>
      </c>
      <c r="E2" t="str">
        <f>AVEM!A27</f>
        <v>AVEM</v>
      </c>
    </row>
    <row r="3" spans="2:5" x14ac:dyDescent="0.25">
      <c r="B3" t="str">
        <f>AVWC!A25</f>
        <v>TER</v>
      </c>
      <c r="C3" s="2">
        <f>AVWC!B25</f>
        <v>2.2000000000000001E-3</v>
      </c>
      <c r="D3" s="2">
        <f>AVWS!B25</f>
        <v>3.8999999999999998E-3</v>
      </c>
      <c r="E3" s="2">
        <f>AVEM!B28</f>
        <v>3.5000000000000001E-3</v>
      </c>
    </row>
    <row r="4" spans="2:5" x14ac:dyDescent="0.25">
      <c r="B4" t="str">
        <f>AVWC!A26</f>
        <v>Dividend leakage</v>
      </c>
      <c r="C4" s="2">
        <f>AVWC!B26</f>
        <v>2.4360612027739385E-3</v>
      </c>
      <c r="D4" s="2">
        <f>AVWS!B26</f>
        <v>2.8568876227560336E-3</v>
      </c>
      <c r="E4" s="2">
        <f>AVEM!B29</f>
        <v>3.8499928503579928E-3</v>
      </c>
    </row>
    <row r="5" spans="2:5" x14ac:dyDescent="0.25">
      <c r="B5" t="str">
        <f>AVEM!A32</f>
        <v>Capital gains tax</v>
      </c>
      <c r="C5" s="2">
        <v>0</v>
      </c>
      <c r="D5" s="2">
        <v>0</v>
      </c>
      <c r="E5" s="2">
        <f>AVEM!B32</f>
        <v>3.0343616901753706E-3</v>
      </c>
    </row>
    <row r="6" spans="2:5" x14ac:dyDescent="0.25">
      <c r="B6" t="str">
        <f>AVWC!A27</f>
        <v>Transaction costs</v>
      </c>
      <c r="C6" s="2">
        <f>AVWC!B27</f>
        <v>4.0244941557303197E-4</v>
      </c>
      <c r="D6" s="2">
        <f>AVWS!B27</f>
        <v>9.0247476164571807E-4</v>
      </c>
      <c r="E6" s="2">
        <f>AVEM!B30</f>
        <v>3.9288891499075652E-3</v>
      </c>
    </row>
    <row r="7" spans="2:5" x14ac:dyDescent="0.25">
      <c r="B7" t="str">
        <f>AVWC!A28</f>
        <v>Lending income</v>
      </c>
      <c r="C7" s="2">
        <f>AVWC!B28</f>
        <v>0</v>
      </c>
      <c r="D7" s="2">
        <f>AVWS!B28</f>
        <v>0</v>
      </c>
      <c r="E7" s="2">
        <f>AVEM!B31</f>
        <v>0</v>
      </c>
    </row>
    <row r="8" spans="2:5" x14ac:dyDescent="0.25">
      <c r="B8" t="str">
        <f>AVWC!A29</f>
        <v>Total</v>
      </c>
      <c r="C8" s="2">
        <f>AVWC!B29</f>
        <v>5.0385106183469704E-3</v>
      </c>
      <c r="D8" s="2">
        <f>AVWS!B29</f>
        <v>7.659362384401752E-3</v>
      </c>
      <c r="E8" s="2">
        <f>AVEM!B33</f>
        <v>1.431324369044093E-2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AVWC</vt:lpstr>
      <vt:lpstr>AVWS</vt:lpstr>
      <vt:lpstr>AVEM</vt:lpstr>
      <vt:lpstr>RR C-P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2021-04-07T18:39:57Z</dcterms:created>
  <dcterms:modified xsi:type="dcterms:W3CDTF">2026-05-02T09:51:32Z</dcterms:modified>
</cp:coreProperties>
</file>