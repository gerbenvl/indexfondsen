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Gerben\Google Drive\Financieel\IndexFondsen\KeuzeWelkIndexFonds\OnderzoekPerFonds\"/>
    </mc:Choice>
  </mc:AlternateContent>
  <xr:revisionPtr revIDLastSave="0" documentId="13_ncr:1_{569FC1A7-842F-4AC1-B555-DC89EF1B5510}" xr6:coauthVersionLast="45" xr6:coauthVersionMax="45" xr10:uidLastSave="{00000000-0000-0000-0000-000000000000}"/>
  <bookViews>
    <workbookView xWindow="8700" yWindow="5565" windowWidth="28800" windowHeight="15435" activeTab="1" xr2:uid="{00000000-000D-0000-FFFF-FFFF00000000}"/>
  </bookViews>
  <sheets>
    <sheet name="Blad1" sheetId="1" r:id="rId1"/>
    <sheet name="Blad2" sheetId="2" r:id="rId2"/>
    <sheet name="Moningstar World" sheetId="3" r:id="rId3"/>
    <sheet name="MorningStar EM + Sm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7" i="3" l="1"/>
  <c r="E21" i="4" l="1"/>
  <c r="D21" i="4"/>
  <c r="D22" i="4"/>
  <c r="D20" i="4"/>
  <c r="D4" i="4"/>
  <c r="E4" i="4" s="1"/>
  <c r="D5" i="4"/>
  <c r="E5" i="4" s="1"/>
  <c r="D3" i="4"/>
  <c r="E6" i="4" s="1"/>
  <c r="G22" i="3" l="1"/>
  <c r="G26" i="3"/>
  <c r="G21" i="3"/>
  <c r="G8" i="3"/>
  <c r="G9" i="3"/>
  <c r="G12" i="3"/>
  <c r="G7" i="3"/>
  <c r="E4" i="3"/>
  <c r="E5" i="3"/>
  <c r="E6" i="3"/>
  <c r="E7" i="3"/>
  <c r="E8" i="3"/>
  <c r="E9" i="3"/>
  <c r="E10" i="3"/>
  <c r="E12" i="3"/>
  <c r="E3" i="3" l="1"/>
  <c r="F28" i="1" l="1"/>
  <c r="F20" i="1"/>
  <c r="F19" i="1"/>
  <c r="E28" i="1"/>
  <c r="E27" i="1"/>
  <c r="E19" i="1"/>
  <c r="E20" i="1"/>
  <c r="E18" i="1"/>
  <c r="F9" i="1"/>
  <c r="F7" i="1"/>
  <c r="E7" i="1"/>
  <c r="E8" i="1"/>
  <c r="E9" i="1"/>
  <c r="E6" i="1"/>
</calcChain>
</file>

<file path=xl/sharedStrings.xml><?xml version="1.0" encoding="utf-8"?>
<sst xmlns="http://schemas.openxmlformats.org/spreadsheetml/2006/main" count="102" uniqueCount="48">
  <si>
    <t>SAWD heeft zo'n 100 uitsluitingen. Lijkt wat op NT world.</t>
  </si>
  <si>
    <t>EDMW heeft zo'n 300 uitsluitingen. Vreemd fonds, veel in cash. (3.75%). ESG Enhanced</t>
  </si>
  <si>
    <t>SUSW pakt top 370 meest duurzame bedrijven.</t>
  </si>
  <si>
    <t>EDM2 heeft zo'n 275 uitsluitingen.  ESG enhanced</t>
  </si>
  <si>
    <t>SUSM pakt top 180 meest duurzame bedrijven.</t>
  </si>
  <si>
    <t>SAEM Optimized dus uitsluitingen zeggen weinig dus.</t>
  </si>
  <si>
    <t>ESG Enhanced = ook met herweging.</t>
  </si>
  <si>
    <t>Datum</t>
  </si>
  <si>
    <t>World</t>
  </si>
  <si>
    <t>IWDA</t>
  </si>
  <si>
    <t>SAWD</t>
  </si>
  <si>
    <t>Emerging</t>
  </si>
  <si>
    <t>Emerging IMI</t>
  </si>
  <si>
    <t>EDMW</t>
  </si>
  <si>
    <t>SUSW</t>
  </si>
  <si>
    <t>IEMN</t>
  </si>
  <si>
    <t>EDM2</t>
  </si>
  <si>
    <t>SUSM</t>
  </si>
  <si>
    <t>EMIM</t>
  </si>
  <si>
    <t>SAEM</t>
  </si>
  <si>
    <t>PE-ratio</t>
  </si>
  <si>
    <t>PB-ratio</t>
  </si>
  <si>
    <t>PE inverse</t>
  </si>
  <si>
    <t>Verschil</t>
  </si>
  <si>
    <t>PE</t>
  </si>
  <si>
    <t>PB</t>
  </si>
  <si>
    <t>EDMW zat hier veel in cash</t>
  </si>
  <si>
    <t>EDMW zat hier veel in cash (1,51%)</t>
  </si>
  <si>
    <t>VG</t>
  </si>
  <si>
    <t>NT W ESG</t>
  </si>
  <si>
    <t>AVIAW</t>
  </si>
  <si>
    <t>NN</t>
  </si>
  <si>
    <t>XT</t>
  </si>
  <si>
    <t>NT non ESG</t>
  </si>
  <si>
    <t>Sharp</t>
  </si>
  <si>
    <t>Generally, the greater the value of the Sharpe ratio, the more attractive the risk-adjusted return.</t>
  </si>
  <si>
    <t>ESG screen</t>
  </si>
  <si>
    <t>Vanguard EM</t>
  </si>
  <si>
    <t>Actiam</t>
  </si>
  <si>
    <t>Small caps</t>
  </si>
  <si>
    <t>Vanguard</t>
  </si>
  <si>
    <t>NT</t>
  </si>
  <si>
    <t>NT EM</t>
  </si>
  <si>
    <t>http://tools.morningstar.nl/nl/fundcompare/default.aspx?SecurityTokenList=F000013ON4%5D2%5D0%5DFXNLD$$ALL%7cF00000SDL5%5D2%5D0%5DFXNLD$$ALL&amp;CurrencyId=EUR&amp;LanguageId=nl-NL</t>
  </si>
  <si>
    <t>http://tools.morningstar.nl/nl/fundcompare/default.aspx?SecurityTokenList=F00000WL32%5D2%5D0%5DFXNLD$$ALL%7cF00000S7JA%5D2%5D0%5DFXNLD$$ALL%7cF00000XXHS%5D2%5D0%5DFXNLD$$ALL%7cF0GBR04B1D%5D2%5D0%5DFXNLD$$ALL&amp;CurrencyId=EUR&amp;LanguageId=nl-NL</t>
  </si>
  <si>
    <t>SPDR</t>
  </si>
  <si>
    <t>optimized</t>
  </si>
  <si>
    <t>EDMW zat hier veel in cash (1,39%)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</si>
</sst>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0" borderId="0" xfId="1"/>
    <xf numFmtId="0" fontId="3" fillId="0" borderId="0" xfId="0" applyFont="1"/>
    <xf numFmtId="10" fontId="0" fillId="0" borderId="0" xfId="2" applyNumberFormat="1" applyFont="1"/>
    <xf numFmtId="10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hares.com/nl/particuliere-belegger/nl/producten/307557/ishares-msci-world-esg-enhanced-ucits-etf-fund" TargetMode="External"/><Relationship Id="rId2" Type="http://schemas.openxmlformats.org/officeDocument/2006/relationships/hyperlink" Target="https://www.ishares.com/nl/particuliere-belegger/nl/producten/305419/ishares-msci-world-esg-screened-ucits-etf-usd-acc-fund" TargetMode="External"/><Relationship Id="rId1" Type="http://schemas.openxmlformats.org/officeDocument/2006/relationships/hyperlink" Target="https://www.ishares.com/nl/particuliere-belegger/nl/producten/251882/ishares-msci-world-ucits-etf-acc-fund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ishares.com/nl/particuliere-belegger/nl/producten/290846/ishares-msci-world-sri-ucits-etf-fun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rningstar.nl/nl/etf/snapshot/snapshot.aspx?id=0P00011V8O&amp;tab=3&amp;InvestmentType=FE" TargetMode="External"/><Relationship Id="rId13" Type="http://schemas.openxmlformats.org/officeDocument/2006/relationships/hyperlink" Target="https://www.morningstar.nl/nl/etf/snapshot/snapshot.aspx?id=0P0001BT2E&amp;tab=3&amp;InvestmentType=FE" TargetMode="External"/><Relationship Id="rId18" Type="http://schemas.openxmlformats.org/officeDocument/2006/relationships/hyperlink" Target="https://www.morningstar.nl/nl/funds/snapshot/snapshot.aspx?id=F00000ZVGD&amp;tab=3" TargetMode="External"/><Relationship Id="rId26" Type="http://schemas.openxmlformats.org/officeDocument/2006/relationships/hyperlink" Target="https://www.morningstar.nl/nl/funds/snapshot/snapshot.aspx?id=F00000WA12&amp;tab=3" TargetMode="External"/><Relationship Id="rId3" Type="http://schemas.openxmlformats.org/officeDocument/2006/relationships/hyperlink" Target="https://www.morningstar.nl/nl/etf/snapshot/snapshot.aspx?id=0P0001EVKW&amp;tab=3&amp;InvestmentType=FE" TargetMode="External"/><Relationship Id="rId21" Type="http://schemas.openxmlformats.org/officeDocument/2006/relationships/hyperlink" Target="https://www.morningstar.nl/nl/etf/snapshot/snapshot.aspx?id=0P0000MLIH&amp;tab=3&amp;InvestmentType=FE" TargetMode="External"/><Relationship Id="rId7" Type="http://schemas.openxmlformats.org/officeDocument/2006/relationships/hyperlink" Target="https://www.morningstar.nl/nl/funds/snapshot/snapshot.aspx?id=F00000YGLU&amp;tab=3" TargetMode="External"/><Relationship Id="rId12" Type="http://schemas.openxmlformats.org/officeDocument/2006/relationships/hyperlink" Target="https://www.morningstar.nl/nl/etf/snapshot/snapshot.aspx?id=0P0001EVKW&amp;tab=3&amp;InvestmentType=FE" TargetMode="External"/><Relationship Id="rId17" Type="http://schemas.openxmlformats.org/officeDocument/2006/relationships/hyperlink" Target="https://www.morningstar.nl/nl/etf/snapshot/snapshot.aspx?id=0P00011V8O&amp;tab=3&amp;InvestmentType=FE" TargetMode="External"/><Relationship Id="rId25" Type="http://schemas.openxmlformats.org/officeDocument/2006/relationships/hyperlink" Target="https://www.morningstar.nl/nl/funds/snapshot/snapshot.aspx?id=F00000VSM9&amp;tab=3" TargetMode="External"/><Relationship Id="rId2" Type="http://schemas.openxmlformats.org/officeDocument/2006/relationships/hyperlink" Target="https://www.morningstar.nl/nl/funds/snapshot/snapshot.aspx?id=F00000S7J6&amp;tab=3" TargetMode="External"/><Relationship Id="rId16" Type="http://schemas.openxmlformats.org/officeDocument/2006/relationships/hyperlink" Target="https://www.morningstar.nl/nl/funds/snapshot/snapshot.aspx?id=F00000YGLU&amp;tab=3" TargetMode="External"/><Relationship Id="rId20" Type="http://schemas.openxmlformats.org/officeDocument/2006/relationships/hyperlink" Target="https://www.morningstar.nl/nl/etf/snapshot/snapshot.aspx?id=0P0001HAV9&amp;tab=3&amp;InvestmentType=FE" TargetMode="External"/><Relationship Id="rId29" Type="http://schemas.openxmlformats.org/officeDocument/2006/relationships/hyperlink" Target="https://www.morningstar.nl/nl/funds/snapshot/snapshot.aspx?id=F00000ZVGD&amp;tab=3" TargetMode="External"/><Relationship Id="rId1" Type="http://schemas.openxmlformats.org/officeDocument/2006/relationships/hyperlink" Target="https://www.morningstar.nl/nl/etf/snapshot/snapshot.aspx?id=0P0000MLIH&amp;tab=3&amp;InvestmentType=FE" TargetMode="External"/><Relationship Id="rId6" Type="http://schemas.openxmlformats.org/officeDocument/2006/relationships/hyperlink" Target="https://www.morningstar.nl/nl/funds/snapshot/snapshot.aspx?id=F00000WA12&amp;tab=3" TargetMode="External"/><Relationship Id="rId11" Type="http://schemas.openxmlformats.org/officeDocument/2006/relationships/hyperlink" Target="https://www.morningstar.nl/nl/funds/snapshot/snapshot.aspx?id=F00000S7J6&amp;tab=3" TargetMode="External"/><Relationship Id="rId24" Type="http://schemas.openxmlformats.org/officeDocument/2006/relationships/hyperlink" Target="https://www.morningstar.nl/nl/etf/snapshot/snapshot.aspx?id=0P0001BT2E&amp;tab=3&amp;InvestmentType=FE" TargetMode="External"/><Relationship Id="rId5" Type="http://schemas.openxmlformats.org/officeDocument/2006/relationships/hyperlink" Target="https://www.morningstar.nl/nl/funds/snapshot/snapshot.aspx?id=F00000VSM9&amp;tab=3" TargetMode="External"/><Relationship Id="rId15" Type="http://schemas.openxmlformats.org/officeDocument/2006/relationships/hyperlink" Target="https://www.morningstar.nl/nl/funds/snapshot/snapshot.aspx?id=F00000WA12&amp;tab=3" TargetMode="External"/><Relationship Id="rId23" Type="http://schemas.openxmlformats.org/officeDocument/2006/relationships/hyperlink" Target="https://www.morningstar.nl/nl/etf/snapshot/snapshot.aspx?id=0P0001EVKW&amp;tab=3&amp;InvestmentType=FE" TargetMode="External"/><Relationship Id="rId28" Type="http://schemas.openxmlformats.org/officeDocument/2006/relationships/hyperlink" Target="https://www.morningstar.nl/nl/etf/snapshot/snapshot.aspx?id=0P00011V8O&amp;tab=3&amp;InvestmentType=FE" TargetMode="External"/><Relationship Id="rId10" Type="http://schemas.openxmlformats.org/officeDocument/2006/relationships/hyperlink" Target="https://www.morningstar.nl/nl/etf/snapshot/snapshot.aspx?id=0P0000MLIH&amp;tab=3&amp;InvestmentType=FE" TargetMode="External"/><Relationship Id="rId19" Type="http://schemas.openxmlformats.org/officeDocument/2006/relationships/hyperlink" Target="https://www.morningstar.nl/nl/etf/snapshot/snapshot.aspx?id=0P0001HAV9&amp;tab=3&amp;InvestmentType=FE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s://www.morningstar.nl/nl/etf/snapshot/snapshot.aspx?id=0P0001BT2E&amp;tab=3&amp;InvestmentType=FE" TargetMode="External"/><Relationship Id="rId9" Type="http://schemas.openxmlformats.org/officeDocument/2006/relationships/hyperlink" Target="https://www.morningstar.nl/nl/funds/snapshot/snapshot.aspx?id=F00000ZVGD&amp;tab=3" TargetMode="External"/><Relationship Id="rId14" Type="http://schemas.openxmlformats.org/officeDocument/2006/relationships/hyperlink" Target="https://www.morningstar.nl/nl/funds/snapshot/snapshot.aspx?id=F00000VSM9&amp;tab=3" TargetMode="External"/><Relationship Id="rId22" Type="http://schemas.openxmlformats.org/officeDocument/2006/relationships/hyperlink" Target="https://www.morningstar.nl/nl/funds/snapshot/snapshot.aspx?id=F00000S7J6&amp;tab=3" TargetMode="External"/><Relationship Id="rId27" Type="http://schemas.openxmlformats.org/officeDocument/2006/relationships/hyperlink" Target="https://www.morningstar.nl/nl/funds/snapshot/snapshot.aspx?id=F00000YGLU&amp;tab=3" TargetMode="External"/><Relationship Id="rId30" Type="http://schemas.openxmlformats.org/officeDocument/2006/relationships/hyperlink" Target="https://www.morningstar.nl/nl/etf/snapshot/snapshot.aspx?id=0P0001HAV9&amp;tab=3&amp;InvestmentType=F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tools.morningstar.nl/nl/fundcompare/default.aspx?SecurityTokenList=F00000WL32%5D2%5D0%5DFXNLD$$ALL%7cF00000S7JA%5D2%5D0%5DFXNLD$$ALL%7cF00000XXHS%5D2%5D0%5DFXNLD$$ALL%7cF0GBR04B1D%5D2%5D0%5DFXNLD$$ALL&amp;CurrencyId=EUR&amp;LanguageId=nl-NL" TargetMode="External"/><Relationship Id="rId3" Type="http://schemas.openxmlformats.org/officeDocument/2006/relationships/hyperlink" Target="https://www.morningstar.nl/nl/funds/snapshot/snapshot.aspx?id=F0GBR04B1D&amp;tab=3" TargetMode="External"/><Relationship Id="rId7" Type="http://schemas.openxmlformats.org/officeDocument/2006/relationships/hyperlink" Target="http://tools.morningstar.nl/nl/fundcompare/default.aspx?SecurityTokenList=F000013ON4%5D2%5D0%5DFXNLD$$ALL%7cF00000SDL5%5D2%5D0%5DFXNLD$$ALL&amp;CurrencyId=EUR&amp;LanguageId=nl-NL" TargetMode="External"/><Relationship Id="rId2" Type="http://schemas.openxmlformats.org/officeDocument/2006/relationships/hyperlink" Target="https://www.morningstar.nl/nl/funds/snapshot/snapshot.aspx?id=F00000XXHS&amp;tab=3" TargetMode="External"/><Relationship Id="rId1" Type="http://schemas.openxmlformats.org/officeDocument/2006/relationships/hyperlink" Target="https://www.morningstar.nl/nl/funds/snapshot/snapshot.aspx?id=F00000S7JA&amp;tab=3" TargetMode="External"/><Relationship Id="rId6" Type="http://schemas.openxmlformats.org/officeDocument/2006/relationships/hyperlink" Target="https://www.morningstar.nl/nl/funds/snapshot/snapshot.aspx?id=F00000WL32&amp;tab=3" TargetMode="External"/><Relationship Id="rId5" Type="http://schemas.openxmlformats.org/officeDocument/2006/relationships/hyperlink" Target="https://www.morningstar.nl/nl/funds/snapshot/snapshot.aspx?id=F000013ON4&amp;tab=3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www.morningstar.nl/nl/funds/snapshot/snapshot.aspx?id=F00000SDL5&amp;tab=3" TargetMode="External"/><Relationship Id="rId9" Type="http://schemas.openxmlformats.org/officeDocument/2006/relationships/hyperlink" Target="https://www.morningstar.nl/nl/etf/snapshot/snapshot.aspx?id=0P00011HK3&amp;tab=3&amp;InvestmentType=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zoomScale="115" zoomScaleNormal="115" workbookViewId="0">
      <selection activeCell="D6" sqref="D6:D9"/>
    </sheetView>
  </sheetViews>
  <sheetFormatPr defaultRowHeight="15" x14ac:dyDescent="0.25"/>
  <cols>
    <col min="2" max="2" width="15.28515625" customWidth="1"/>
    <col min="3" max="3" width="13.140625" customWidth="1"/>
    <col min="4" max="4" width="13.28515625" customWidth="1"/>
    <col min="5" max="5" width="11" customWidth="1"/>
  </cols>
  <sheetData>
    <row r="2" spans="2:6" x14ac:dyDescent="0.25">
      <c r="B2" t="s">
        <v>7</v>
      </c>
      <c r="C2" s="1">
        <v>44088</v>
      </c>
    </row>
    <row r="3" spans="2:6" x14ac:dyDescent="0.25">
      <c r="B3" t="s">
        <v>6</v>
      </c>
    </row>
    <row r="5" spans="2:6" x14ac:dyDescent="0.25">
      <c r="B5" s="2" t="s">
        <v>8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2:6" x14ac:dyDescent="0.25">
      <c r="B6" t="s">
        <v>9</v>
      </c>
      <c r="C6">
        <v>20.02</v>
      </c>
      <c r="D6">
        <v>2.5099999999999998</v>
      </c>
      <c r="E6" s="3">
        <f>100/C6</f>
        <v>4.9950049950049955</v>
      </c>
    </row>
    <row r="7" spans="2:6" x14ac:dyDescent="0.25">
      <c r="B7" t="s">
        <v>10</v>
      </c>
      <c r="C7">
        <v>20.420000000000002</v>
      </c>
      <c r="D7">
        <v>2.5499999999999998</v>
      </c>
      <c r="E7" s="3">
        <f t="shared" ref="E7:E9" si="0">100/C7</f>
        <v>4.8971596474045054</v>
      </c>
      <c r="F7" s="3">
        <f>E7-E6</f>
        <v>-9.7845347600490129E-2</v>
      </c>
    </row>
    <row r="8" spans="2:6" x14ac:dyDescent="0.25">
      <c r="B8" t="s">
        <v>13</v>
      </c>
      <c r="C8">
        <v>19.5</v>
      </c>
      <c r="D8">
        <v>2.41</v>
      </c>
      <c r="E8" s="3">
        <f t="shared" si="0"/>
        <v>5.1282051282051286</v>
      </c>
      <c r="F8" s="3"/>
    </row>
    <row r="9" spans="2:6" x14ac:dyDescent="0.25">
      <c r="B9" t="s">
        <v>14</v>
      </c>
      <c r="C9">
        <v>21.25</v>
      </c>
      <c r="D9">
        <v>3.06</v>
      </c>
      <c r="E9" s="3">
        <f t="shared" si="0"/>
        <v>4.7058823529411766</v>
      </c>
      <c r="F9" s="3">
        <f>E9-E6</f>
        <v>-0.28912264206381888</v>
      </c>
    </row>
    <row r="12" spans="2:6" x14ac:dyDescent="0.25">
      <c r="B12" t="s">
        <v>0</v>
      </c>
    </row>
    <row r="13" spans="2:6" x14ac:dyDescent="0.25">
      <c r="B13" t="s">
        <v>1</v>
      </c>
    </row>
    <row r="14" spans="2:6" x14ac:dyDescent="0.25">
      <c r="B14" t="s">
        <v>2</v>
      </c>
    </row>
    <row r="17" spans="2:6" x14ac:dyDescent="0.25">
      <c r="B17" s="2" t="s">
        <v>11</v>
      </c>
      <c r="C17" s="2" t="s">
        <v>20</v>
      </c>
      <c r="D17" s="2" t="s">
        <v>21</v>
      </c>
      <c r="E17" s="2" t="s">
        <v>22</v>
      </c>
      <c r="F17" s="2" t="s">
        <v>23</v>
      </c>
    </row>
    <row r="18" spans="2:6" x14ac:dyDescent="0.25">
      <c r="B18" t="s">
        <v>15</v>
      </c>
      <c r="C18">
        <v>15.63</v>
      </c>
      <c r="D18">
        <v>1.74</v>
      </c>
      <c r="E18" s="3">
        <f>100/C18</f>
        <v>6.3979526551503518</v>
      </c>
    </row>
    <row r="19" spans="2:6" x14ac:dyDescent="0.25">
      <c r="B19" t="s">
        <v>16</v>
      </c>
      <c r="C19">
        <v>15.66</v>
      </c>
      <c r="D19">
        <v>1.79</v>
      </c>
      <c r="E19" s="3">
        <f t="shared" ref="E19:E20" si="1">100/C19</f>
        <v>6.3856960408684547</v>
      </c>
      <c r="F19" s="3">
        <f>E19-E18</f>
        <v>-1.2256614281897171E-2</v>
      </c>
    </row>
    <row r="20" spans="2:6" x14ac:dyDescent="0.25">
      <c r="B20" t="s">
        <v>17</v>
      </c>
      <c r="C20">
        <v>17.100000000000001</v>
      </c>
      <c r="D20">
        <v>1.94</v>
      </c>
      <c r="E20" s="3">
        <f t="shared" si="1"/>
        <v>5.8479532163742682</v>
      </c>
      <c r="F20" s="3">
        <f>E20-E18</f>
        <v>-0.54999943877608359</v>
      </c>
    </row>
    <row r="23" spans="2:6" x14ac:dyDescent="0.25">
      <c r="B23" t="s">
        <v>3</v>
      </c>
    </row>
    <row r="24" spans="2:6" x14ac:dyDescent="0.25">
      <c r="B24" t="s">
        <v>4</v>
      </c>
    </row>
    <row r="26" spans="2:6" x14ac:dyDescent="0.25">
      <c r="B26" s="2" t="s">
        <v>12</v>
      </c>
      <c r="C26" s="2" t="s">
        <v>20</v>
      </c>
      <c r="D26" s="2" t="s">
        <v>21</v>
      </c>
      <c r="E26" s="2" t="s">
        <v>22</v>
      </c>
      <c r="F26" s="2" t="s">
        <v>23</v>
      </c>
    </row>
    <row r="27" spans="2:6" x14ac:dyDescent="0.25">
      <c r="B27" t="s">
        <v>18</v>
      </c>
      <c r="C27">
        <v>15.32</v>
      </c>
      <c r="D27">
        <v>1.68</v>
      </c>
      <c r="E27" s="3">
        <f>100/C27</f>
        <v>6.5274151436031334</v>
      </c>
    </row>
    <row r="28" spans="2:6" x14ac:dyDescent="0.25">
      <c r="B28" t="s">
        <v>19</v>
      </c>
      <c r="C28">
        <v>15.67</v>
      </c>
      <c r="D28">
        <v>1.7</v>
      </c>
      <c r="E28" s="3">
        <f>100/C28</f>
        <v>6.3816209317166557</v>
      </c>
      <c r="F28" s="3">
        <f>E28-E27</f>
        <v>-0.14579421188647768</v>
      </c>
    </row>
    <row r="30" spans="2:6" x14ac:dyDescent="0.25">
      <c r="B30" t="s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B661-A5E4-4BF6-936C-1F4550AD22FB}">
  <dimension ref="B2:G18"/>
  <sheetViews>
    <sheetView tabSelected="1" workbookViewId="0">
      <selection activeCell="F19" sqref="F19"/>
    </sheetView>
  </sheetViews>
  <sheetFormatPr defaultRowHeight="15" x14ac:dyDescent="0.25"/>
  <cols>
    <col min="2" max="2" width="14.7109375" customWidth="1"/>
  </cols>
  <sheetData>
    <row r="2" spans="2:7" x14ac:dyDescent="0.25">
      <c r="B2" s="2" t="s">
        <v>24</v>
      </c>
      <c r="C2" s="4" t="s">
        <v>9</v>
      </c>
      <c r="D2" s="4" t="s">
        <v>10</v>
      </c>
      <c r="E2" s="4" t="s">
        <v>13</v>
      </c>
      <c r="F2" s="4" t="s">
        <v>14</v>
      </c>
    </row>
    <row r="3" spans="2:7" x14ac:dyDescent="0.25">
      <c r="B3" s="1">
        <v>44088</v>
      </c>
      <c r="C3">
        <v>20.02</v>
      </c>
      <c r="D3">
        <v>20.420000000000002</v>
      </c>
      <c r="E3">
        <v>19.5</v>
      </c>
      <c r="F3">
        <v>21.25</v>
      </c>
      <c r="G3" s="5" t="s">
        <v>26</v>
      </c>
    </row>
    <row r="4" spans="2:7" x14ac:dyDescent="0.25">
      <c r="B4" s="1">
        <v>44097</v>
      </c>
      <c r="C4">
        <v>19.77</v>
      </c>
      <c r="D4">
        <v>20.41</v>
      </c>
      <c r="E4">
        <v>20.170000000000002</v>
      </c>
      <c r="F4">
        <v>21.21</v>
      </c>
    </row>
    <row r="5" spans="2:7" x14ac:dyDescent="0.25">
      <c r="B5" s="1">
        <v>44103</v>
      </c>
      <c r="C5">
        <v>20.07</v>
      </c>
      <c r="D5">
        <v>20.72</v>
      </c>
      <c r="E5">
        <v>20.52</v>
      </c>
      <c r="F5">
        <v>21.45</v>
      </c>
    </row>
    <row r="6" spans="2:7" x14ac:dyDescent="0.25">
      <c r="B6" s="1">
        <v>44104</v>
      </c>
      <c r="C6">
        <v>19.920000000000002</v>
      </c>
      <c r="D6">
        <v>20.56</v>
      </c>
      <c r="E6">
        <v>20.37</v>
      </c>
      <c r="F6">
        <v>21.41</v>
      </c>
      <c r="G6" s="5" t="s">
        <v>27</v>
      </c>
    </row>
    <row r="7" spans="2:7" x14ac:dyDescent="0.25">
      <c r="B7" s="1">
        <v>44168</v>
      </c>
      <c r="C7">
        <v>22.04</v>
      </c>
      <c r="D7">
        <v>22.84</v>
      </c>
      <c r="E7">
        <v>22.83</v>
      </c>
      <c r="F7">
        <v>23.3</v>
      </c>
      <c r="G7" s="5" t="s">
        <v>47</v>
      </c>
    </row>
    <row r="13" spans="2:7" x14ac:dyDescent="0.25">
      <c r="B13" s="2" t="s">
        <v>25</v>
      </c>
      <c r="C13" s="2" t="s">
        <v>9</v>
      </c>
      <c r="D13" s="2" t="s">
        <v>10</v>
      </c>
      <c r="E13" s="2" t="s">
        <v>13</v>
      </c>
      <c r="F13" s="2" t="s">
        <v>14</v>
      </c>
    </row>
    <row r="14" spans="2:7" x14ac:dyDescent="0.25">
      <c r="B14" s="1">
        <v>44088</v>
      </c>
      <c r="C14">
        <v>2.5099999999999998</v>
      </c>
      <c r="D14">
        <v>2.5499999999999998</v>
      </c>
      <c r="E14">
        <v>2.41</v>
      </c>
      <c r="F14">
        <v>3.06</v>
      </c>
    </row>
    <row r="15" spans="2:7" x14ac:dyDescent="0.25">
      <c r="B15" s="1">
        <v>44097</v>
      </c>
      <c r="C15">
        <v>2.48</v>
      </c>
      <c r="D15">
        <v>2.54</v>
      </c>
      <c r="E15">
        <v>2.4700000000000002</v>
      </c>
      <c r="F15">
        <v>3.05</v>
      </c>
    </row>
    <row r="16" spans="2:7" x14ac:dyDescent="0.25">
      <c r="B16" s="1">
        <v>44103</v>
      </c>
      <c r="C16">
        <v>2.5299999999999998</v>
      </c>
      <c r="D16">
        <v>2.6</v>
      </c>
      <c r="E16">
        <v>2.5299999999999998</v>
      </c>
      <c r="F16">
        <v>3.09</v>
      </c>
    </row>
    <row r="17" spans="2:6" x14ac:dyDescent="0.25">
      <c r="B17" s="1">
        <v>44104</v>
      </c>
      <c r="C17">
        <v>2.5099999999999998</v>
      </c>
      <c r="D17">
        <v>2.58</v>
      </c>
      <c r="E17">
        <v>2.5099999999999998</v>
      </c>
      <c r="F17">
        <v>3.09</v>
      </c>
    </row>
    <row r="18" spans="2:6" x14ac:dyDescent="0.25">
      <c r="B18" s="1">
        <v>44168</v>
      </c>
      <c r="C18">
        <v>2.76</v>
      </c>
      <c r="D18">
        <v>2.83</v>
      </c>
      <c r="E18">
        <v>2.79</v>
      </c>
      <c r="F18">
        <v>3.34</v>
      </c>
    </row>
  </sheetData>
  <hyperlinks>
    <hyperlink ref="C2" r:id="rId1" location="keyFundFacts" xr:uid="{0F8E093C-7C0D-4878-9D25-2430DA5DEE9F}"/>
    <hyperlink ref="D2" r:id="rId2" location="keyFundFacts" xr:uid="{0B5BA235-788A-41E1-AFE2-CCEDCF9F6A57}"/>
    <hyperlink ref="E2" r:id="rId3" location="keyFundFacts" xr:uid="{37E3F0E2-979C-48BE-ABDE-E30042DD8E40}"/>
    <hyperlink ref="F2" r:id="rId4" location="keyFundFacts" xr:uid="{D7158F63-0665-4B1A-AF86-9F73F0C92A75}"/>
  </hyperlinks>
  <pageMargins left="0.7" right="0.7" top="0.75" bottom="0.75" header="0.3" footer="0.3"/>
  <pageSetup orientation="portrait" horizontalDpi="0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8F06-4D51-46E4-B012-EFE246D61B74}">
  <dimension ref="B2:I41"/>
  <sheetViews>
    <sheetView workbookViewId="0">
      <selection activeCell="I7" sqref="I7"/>
    </sheetView>
  </sheetViews>
  <sheetFormatPr defaultRowHeight="15" x14ac:dyDescent="0.25"/>
  <cols>
    <col min="2" max="2" width="14.7109375" customWidth="1"/>
    <col min="3" max="3" width="14.42578125" customWidth="1"/>
    <col min="7" max="7" width="13" customWidth="1"/>
  </cols>
  <sheetData>
    <row r="2" spans="2:9" x14ac:dyDescent="0.25">
      <c r="B2" s="2" t="s">
        <v>24</v>
      </c>
      <c r="C2" s="1">
        <v>44104</v>
      </c>
      <c r="G2" t="s">
        <v>36</v>
      </c>
      <c r="H2" s="4"/>
    </row>
    <row r="3" spans="2:9" x14ac:dyDescent="0.25">
      <c r="B3" s="4" t="s">
        <v>9</v>
      </c>
      <c r="C3">
        <v>21.68</v>
      </c>
      <c r="E3" s="6">
        <f>1/C3</f>
        <v>4.6125461254612546E-2</v>
      </c>
      <c r="G3" s="7"/>
    </row>
    <row r="4" spans="2:9" x14ac:dyDescent="0.25">
      <c r="B4" s="4" t="s">
        <v>32</v>
      </c>
      <c r="C4">
        <v>21.83</v>
      </c>
      <c r="E4" s="6">
        <f t="shared" ref="E4:E12" si="0">1/C4</f>
        <v>4.5808520384791572E-2</v>
      </c>
      <c r="G4" s="7"/>
    </row>
    <row r="5" spans="2:9" x14ac:dyDescent="0.25">
      <c r="B5" s="4" t="s">
        <v>33</v>
      </c>
      <c r="C5">
        <v>21.69</v>
      </c>
      <c r="E5" s="6">
        <f t="shared" si="0"/>
        <v>4.6104195481788839E-2</v>
      </c>
      <c r="G5" s="7"/>
    </row>
    <row r="6" spans="2:9" x14ac:dyDescent="0.25">
      <c r="B6" s="4" t="s">
        <v>28</v>
      </c>
      <c r="C6">
        <v>21.7</v>
      </c>
      <c r="E6" s="6">
        <f t="shared" si="0"/>
        <v>4.6082949308755762E-2</v>
      </c>
      <c r="G6" s="7"/>
    </row>
    <row r="7" spans="2:9" x14ac:dyDescent="0.25">
      <c r="B7" s="4" t="s">
        <v>29</v>
      </c>
      <c r="C7">
        <v>22.14</v>
      </c>
      <c r="E7" s="6">
        <f t="shared" si="0"/>
        <v>4.5167118337850046E-2</v>
      </c>
      <c r="G7" s="7">
        <f>E7-$E$3</f>
        <v>-9.5834291676250016E-4</v>
      </c>
      <c r="I7">
        <f>C5-C7</f>
        <v>-0.44999999999999929</v>
      </c>
    </row>
    <row r="8" spans="2:9" x14ac:dyDescent="0.25">
      <c r="B8" s="4" t="s">
        <v>10</v>
      </c>
      <c r="C8">
        <v>22.31</v>
      </c>
      <c r="E8" s="6">
        <f t="shared" si="0"/>
        <v>4.482294935006724E-2</v>
      </c>
      <c r="G8" s="7">
        <f t="shared" ref="G8:G12" si="1">E8-$E$3</f>
        <v>-1.302511904545306E-3</v>
      </c>
    </row>
    <row r="9" spans="2:9" x14ac:dyDescent="0.25">
      <c r="B9" s="4" t="s">
        <v>30</v>
      </c>
      <c r="C9">
        <v>21.72</v>
      </c>
      <c r="E9" s="6">
        <f t="shared" si="0"/>
        <v>4.6040515653775323E-2</v>
      </c>
      <c r="G9" s="7">
        <f t="shared" si="1"/>
        <v>-8.494560083722319E-5</v>
      </c>
    </row>
    <row r="10" spans="2:9" x14ac:dyDescent="0.25">
      <c r="B10" s="4" t="s">
        <v>13</v>
      </c>
      <c r="C10">
        <v>21.68</v>
      </c>
      <c r="E10" s="6">
        <f t="shared" si="0"/>
        <v>4.6125461254612546E-2</v>
      </c>
      <c r="G10" s="7"/>
    </row>
    <row r="11" spans="2:9" x14ac:dyDescent="0.25">
      <c r="B11" s="4" t="s">
        <v>31</v>
      </c>
      <c r="E11" s="6"/>
      <c r="G11" s="7"/>
    </row>
    <row r="12" spans="2:9" x14ac:dyDescent="0.25">
      <c r="B12" s="4" t="s">
        <v>14</v>
      </c>
      <c r="C12">
        <v>23.18</v>
      </c>
      <c r="E12" s="6">
        <f t="shared" si="0"/>
        <v>4.3140638481449528E-2</v>
      </c>
      <c r="G12" s="7">
        <f t="shared" si="1"/>
        <v>-2.9848227731630178E-3</v>
      </c>
    </row>
    <row r="16" spans="2:9" x14ac:dyDescent="0.25">
      <c r="B16" s="2" t="s">
        <v>25</v>
      </c>
    </row>
    <row r="17" spans="2:7" x14ac:dyDescent="0.25">
      <c r="B17" s="4" t="s">
        <v>9</v>
      </c>
      <c r="C17">
        <v>2.2599999999999998</v>
      </c>
    </row>
    <row r="18" spans="2:7" x14ac:dyDescent="0.25">
      <c r="B18" s="4" t="s">
        <v>32</v>
      </c>
      <c r="C18">
        <v>2.2200000000000002</v>
      </c>
    </row>
    <row r="19" spans="2:7" x14ac:dyDescent="0.25">
      <c r="B19" s="4" t="s">
        <v>33</v>
      </c>
      <c r="C19">
        <v>2.2599999999999998</v>
      </c>
    </row>
    <row r="20" spans="2:7" x14ac:dyDescent="0.25">
      <c r="B20" s="4" t="s">
        <v>28</v>
      </c>
      <c r="C20">
        <v>2.2599999999999998</v>
      </c>
    </row>
    <row r="21" spans="2:7" x14ac:dyDescent="0.25">
      <c r="B21" s="4" t="s">
        <v>29</v>
      </c>
      <c r="C21">
        <v>2.2799999999999998</v>
      </c>
      <c r="G21">
        <f>C21-$C$17</f>
        <v>2.0000000000000018E-2</v>
      </c>
    </row>
    <row r="22" spans="2:7" x14ac:dyDescent="0.25">
      <c r="B22" s="4" t="s">
        <v>10</v>
      </c>
      <c r="C22">
        <v>2.3199999999999998</v>
      </c>
      <c r="G22">
        <f t="shared" ref="G22:G26" si="2">C22-$C$17</f>
        <v>6.0000000000000053E-2</v>
      </c>
    </row>
    <row r="23" spans="2:7" x14ac:dyDescent="0.25">
      <c r="B23" s="4" t="s">
        <v>30</v>
      </c>
      <c r="C23">
        <v>2.2599999999999998</v>
      </c>
    </row>
    <row r="24" spans="2:7" x14ac:dyDescent="0.25">
      <c r="B24" s="4" t="s">
        <v>13</v>
      </c>
      <c r="C24">
        <v>2.25</v>
      </c>
    </row>
    <row r="25" spans="2:7" x14ac:dyDescent="0.25">
      <c r="B25" s="4" t="s">
        <v>31</v>
      </c>
    </row>
    <row r="26" spans="2:7" x14ac:dyDescent="0.25">
      <c r="B26" s="4" t="s">
        <v>14</v>
      </c>
      <c r="C26">
        <v>2.72</v>
      </c>
      <c r="G26">
        <f t="shared" si="2"/>
        <v>0.46000000000000041</v>
      </c>
    </row>
    <row r="29" spans="2:7" x14ac:dyDescent="0.25">
      <c r="B29" t="s">
        <v>34</v>
      </c>
    </row>
    <row r="30" spans="2:7" x14ac:dyDescent="0.25">
      <c r="B30" s="4" t="s">
        <v>9</v>
      </c>
      <c r="C30">
        <v>0.63</v>
      </c>
    </row>
    <row r="31" spans="2:7" x14ac:dyDescent="0.25">
      <c r="B31" s="4" t="s">
        <v>32</v>
      </c>
      <c r="C31">
        <v>0.6</v>
      </c>
    </row>
    <row r="32" spans="2:7" x14ac:dyDescent="0.25">
      <c r="B32" s="4" t="s">
        <v>33</v>
      </c>
    </row>
    <row r="33" spans="2:3" x14ac:dyDescent="0.25">
      <c r="B33" s="4" t="s">
        <v>28</v>
      </c>
      <c r="C33">
        <v>0.6</v>
      </c>
    </row>
    <row r="34" spans="2:3" x14ac:dyDescent="0.25">
      <c r="B34" s="4" t="s">
        <v>29</v>
      </c>
      <c r="C34">
        <v>0.67</v>
      </c>
    </row>
    <row r="35" spans="2:3" x14ac:dyDescent="0.25">
      <c r="B35" s="4" t="s">
        <v>10</v>
      </c>
    </row>
    <row r="36" spans="2:3" x14ac:dyDescent="0.25">
      <c r="B36" s="4" t="s">
        <v>30</v>
      </c>
      <c r="C36">
        <v>0.65</v>
      </c>
    </row>
    <row r="37" spans="2:3" x14ac:dyDescent="0.25">
      <c r="B37" s="4" t="s">
        <v>13</v>
      </c>
    </row>
    <row r="38" spans="2:3" x14ac:dyDescent="0.25">
      <c r="B38" s="4" t="s">
        <v>31</v>
      </c>
      <c r="C38">
        <v>0.64</v>
      </c>
    </row>
    <row r="39" spans="2:3" x14ac:dyDescent="0.25">
      <c r="B39" s="4" t="s">
        <v>14</v>
      </c>
    </row>
    <row r="41" spans="2:3" x14ac:dyDescent="0.25">
      <c r="B41" t="s">
        <v>35</v>
      </c>
    </row>
  </sheetData>
  <conditionalFormatting sqref="E3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3" r:id="rId1" xr:uid="{78E1AFD6-9F96-40B9-BDF6-7B21AAC8AA5B}"/>
    <hyperlink ref="B6" r:id="rId2" xr:uid="{16D5CAA8-E0EE-4989-9627-22BEE6F3FC3D}"/>
    <hyperlink ref="B8" r:id="rId3" xr:uid="{3158E7A7-876D-42FF-B53E-171E8D5C45C6}"/>
    <hyperlink ref="B12" r:id="rId4" xr:uid="{24DBA9CC-C973-41BC-8910-11D188E3BF6A}"/>
    <hyperlink ref="B7" r:id="rId5" xr:uid="{F3174288-9A64-4CB1-B820-B98546F028E2}"/>
    <hyperlink ref="B9" r:id="rId6" xr:uid="{5E32B804-EAED-429D-98B1-34D9F0FFB90F}"/>
    <hyperlink ref="B11" r:id="rId7" xr:uid="{5AF352BD-F3EF-43D8-83EC-23E2292D5452}"/>
    <hyperlink ref="B4" r:id="rId8" xr:uid="{DCF63B9A-6718-407B-845A-AE813A6FF610}"/>
    <hyperlink ref="B5" r:id="rId9" xr:uid="{7E7D615D-D099-434C-A3E8-F19016A884B1}"/>
    <hyperlink ref="B17" r:id="rId10" xr:uid="{57BFF35D-5B77-4C9B-9A3E-128BB3F5338D}"/>
    <hyperlink ref="B20" r:id="rId11" xr:uid="{F6D7CC97-19C0-4AB7-A579-B8F7106D367F}"/>
    <hyperlink ref="B22" r:id="rId12" xr:uid="{4023873D-8C1A-44D3-9662-B0A4F3FB2F80}"/>
    <hyperlink ref="B26" r:id="rId13" xr:uid="{45F83FFA-1274-45EA-87CE-2A17D04F2338}"/>
    <hyperlink ref="B21" r:id="rId14" xr:uid="{73EF7ABF-7CAD-42B3-8518-888DB6003445}"/>
    <hyperlink ref="B23" r:id="rId15" xr:uid="{0A9CF7F1-4010-4C7C-9A15-B74C84951DFE}"/>
    <hyperlink ref="B25" r:id="rId16" xr:uid="{85CBF20C-8B40-4D6B-A7C4-7EDC32473310}"/>
    <hyperlink ref="B18" r:id="rId17" xr:uid="{90EADCFE-E836-42E2-B012-1189A5EC6749}"/>
    <hyperlink ref="B19" r:id="rId18" xr:uid="{86FB166A-4CFB-4FA0-BAE8-D357E5AE4F3E}"/>
    <hyperlink ref="B10" r:id="rId19" xr:uid="{FCA74EA0-88FE-4554-9C5C-255C76213106}"/>
    <hyperlink ref="B24" r:id="rId20" xr:uid="{2725B151-EE86-419E-8D9A-B8233F7E6DC1}"/>
    <hyperlink ref="B30" r:id="rId21" xr:uid="{B3B0B247-5144-44D5-A101-21D3B30D917A}"/>
    <hyperlink ref="B33" r:id="rId22" xr:uid="{9C84F75A-00D6-4968-A904-3FEDF87CEF6E}"/>
    <hyperlink ref="B35" r:id="rId23" xr:uid="{80AEB458-6AD0-44C5-BC2D-9FA1F30E04BF}"/>
    <hyperlink ref="B39" r:id="rId24" xr:uid="{19DAA0CD-2F87-4905-BE08-1E4285F1E4B8}"/>
    <hyperlink ref="B34" r:id="rId25" xr:uid="{A1A259AF-B975-45C6-9722-64E6284DF3C9}"/>
    <hyperlink ref="B36" r:id="rId26" xr:uid="{201B4155-FBA8-4ABB-8F2A-BB3CEF7ADF2C}"/>
    <hyperlink ref="B38" r:id="rId27" xr:uid="{69FE7DAD-46BC-425C-B44F-8541516FB879}"/>
    <hyperlink ref="B31" r:id="rId28" xr:uid="{F12D6287-D6D8-4213-A0F2-F0651E0DBF85}"/>
    <hyperlink ref="B32" r:id="rId29" xr:uid="{59677D3B-1C5E-41F7-B51C-98D1DB539365}"/>
    <hyperlink ref="B37" r:id="rId30" xr:uid="{EB6709B1-CE60-41E3-9257-A4C88A75CC1A}"/>
  </hyperlinks>
  <pageMargins left="0.7" right="0.7" top="0.75" bottom="0.75" header="0.3" footer="0.3"/>
  <pageSetup orientation="portrait" horizontalDpi="0" verticalDpi="0"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CF81-7841-4B7B-9E97-7ADF6439603E}">
  <dimension ref="B2:G27"/>
  <sheetViews>
    <sheetView workbookViewId="0">
      <selection activeCell="E42" sqref="E42"/>
    </sheetView>
  </sheetViews>
  <sheetFormatPr defaultRowHeight="15" x14ac:dyDescent="0.25"/>
  <cols>
    <col min="2" max="2" width="22" customWidth="1"/>
    <col min="3" max="3" width="9.42578125" bestFit="1" customWidth="1"/>
    <col min="4" max="4" width="9.7109375" customWidth="1"/>
    <col min="5" max="5" width="11.5703125" customWidth="1"/>
  </cols>
  <sheetData>
    <row r="2" spans="2:7" x14ac:dyDescent="0.25">
      <c r="B2" s="2" t="s">
        <v>24</v>
      </c>
      <c r="C2" s="1">
        <v>44104</v>
      </c>
    </row>
    <row r="3" spans="2:7" x14ac:dyDescent="0.25">
      <c r="B3" s="4" t="s">
        <v>37</v>
      </c>
      <c r="C3">
        <v>15.74</v>
      </c>
      <c r="D3" s="3">
        <f>100/C3</f>
        <v>6.3532401524777633</v>
      </c>
    </row>
    <row r="4" spans="2:7" x14ac:dyDescent="0.25">
      <c r="B4" s="4" t="s">
        <v>42</v>
      </c>
      <c r="C4">
        <v>16.28</v>
      </c>
      <c r="D4" s="3">
        <f t="shared" ref="D4:D5" si="0">100/C4</f>
        <v>6.142506142506142</v>
      </c>
      <c r="E4" s="3">
        <f>D4-$D$3</f>
        <v>-0.21073400997162128</v>
      </c>
    </row>
    <row r="5" spans="2:7" x14ac:dyDescent="0.25">
      <c r="B5" s="4" t="s">
        <v>38</v>
      </c>
      <c r="C5">
        <v>16.18</v>
      </c>
      <c r="D5" s="3">
        <f t="shared" si="0"/>
        <v>6.1804697156983934</v>
      </c>
      <c r="E5" s="3">
        <f t="shared" ref="E5:E6" si="1">D5-$D$3</f>
        <v>-0.17277043677936987</v>
      </c>
      <c r="G5" s="4" t="s">
        <v>44</v>
      </c>
    </row>
    <row r="6" spans="2:7" x14ac:dyDescent="0.25">
      <c r="B6" s="4" t="s">
        <v>31</v>
      </c>
      <c r="E6" s="3">
        <f t="shared" si="1"/>
        <v>-6.3532401524777633</v>
      </c>
    </row>
    <row r="9" spans="2:7" x14ac:dyDescent="0.25">
      <c r="B9" s="2" t="s">
        <v>25</v>
      </c>
    </row>
    <row r="10" spans="2:7" x14ac:dyDescent="0.25">
      <c r="B10" t="s">
        <v>37</v>
      </c>
      <c r="C10">
        <v>1.47</v>
      </c>
    </row>
    <row r="11" spans="2:7" x14ac:dyDescent="0.25">
      <c r="B11" t="s">
        <v>42</v>
      </c>
      <c r="C11">
        <v>1.53</v>
      </c>
    </row>
    <row r="12" spans="2:7" x14ac:dyDescent="0.25">
      <c r="B12" t="s">
        <v>38</v>
      </c>
      <c r="C12">
        <v>1.59</v>
      </c>
    </row>
    <row r="13" spans="2:7" x14ac:dyDescent="0.25">
      <c r="B13" t="s">
        <v>31</v>
      </c>
    </row>
    <row r="17" spans="2:7" x14ac:dyDescent="0.25">
      <c r="B17" s="2" t="s">
        <v>39</v>
      </c>
      <c r="C17" s="1">
        <v>44104</v>
      </c>
    </row>
    <row r="19" spans="2:7" x14ac:dyDescent="0.25">
      <c r="B19" s="2" t="s">
        <v>24</v>
      </c>
      <c r="G19" s="4" t="s">
        <v>43</v>
      </c>
    </row>
    <row r="20" spans="2:7" x14ac:dyDescent="0.25">
      <c r="B20" s="4" t="s">
        <v>40</v>
      </c>
      <c r="C20">
        <v>18.16</v>
      </c>
      <c r="D20" s="3">
        <f>100/C20</f>
        <v>5.5066079295154182</v>
      </c>
    </row>
    <row r="21" spans="2:7" x14ac:dyDescent="0.25">
      <c r="B21" s="4" t="s">
        <v>41</v>
      </c>
      <c r="C21">
        <v>18.38</v>
      </c>
      <c r="D21" s="3">
        <f t="shared" ref="D21:D22" si="2">100/C21</f>
        <v>5.4406964091403704</v>
      </c>
      <c r="E21" s="3">
        <f>D21-$D$20</f>
        <v>-6.5911520375047772E-2</v>
      </c>
    </row>
    <row r="22" spans="2:7" x14ac:dyDescent="0.25">
      <c r="B22" s="4" t="s">
        <v>45</v>
      </c>
      <c r="C22">
        <v>18.43</v>
      </c>
      <c r="D22" s="3">
        <f t="shared" si="2"/>
        <v>5.4259359739555073</v>
      </c>
      <c r="F22" t="s">
        <v>46</v>
      </c>
    </row>
    <row r="24" spans="2:7" x14ac:dyDescent="0.25">
      <c r="B24" s="2" t="s">
        <v>25</v>
      </c>
    </row>
    <row r="25" spans="2:7" x14ac:dyDescent="0.25">
      <c r="B25" t="s">
        <v>40</v>
      </c>
      <c r="C25">
        <v>1.43</v>
      </c>
    </row>
    <row r="26" spans="2:7" x14ac:dyDescent="0.25">
      <c r="B26" t="s">
        <v>41</v>
      </c>
      <c r="C26">
        <v>1.5</v>
      </c>
    </row>
    <row r="27" spans="2:7" x14ac:dyDescent="0.25">
      <c r="B27" t="s">
        <v>45</v>
      </c>
      <c r="C27">
        <v>1.45</v>
      </c>
    </row>
  </sheetData>
  <hyperlinks>
    <hyperlink ref="B3" r:id="rId1" xr:uid="{64EBFB08-5612-4E6C-8607-D1D4B3867FEA}"/>
    <hyperlink ref="B5" r:id="rId2" xr:uid="{60E42200-1DDF-4AD7-973B-DA067649C882}"/>
    <hyperlink ref="B6" r:id="rId3" xr:uid="{C3EA7A07-0FD7-451A-B8D0-3C6F40B396D9}"/>
    <hyperlink ref="B20" r:id="rId4" xr:uid="{E6FA7D5F-13B4-47CE-8769-096C35A5C453}"/>
    <hyperlink ref="B21" r:id="rId5" xr:uid="{CC5CA74C-1E10-45CC-A205-DDDE75274424}"/>
    <hyperlink ref="B4" r:id="rId6" xr:uid="{DB211212-BB7F-4E7D-BBA0-A04124038990}"/>
    <hyperlink ref="G19" r:id="rId7" xr:uid="{4D71DF0B-DFD2-4B83-AEF7-1308C1ABF73E}"/>
    <hyperlink ref="G5" r:id="rId8" xr:uid="{DB7A0C6C-F083-4C5F-858D-86028563ED3F}"/>
    <hyperlink ref="B22" r:id="rId9" xr:uid="{E95DCC2D-9FC7-41DA-98C1-648F25228C14}"/>
  </hyperlinks>
  <pageMargins left="0.7" right="0.7" top="0.75" bottom="0.75" header="0.3" footer="0.3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Blad1</vt:lpstr>
      <vt:lpstr>Blad2</vt:lpstr>
      <vt:lpstr>Moningstar World</vt:lpstr>
      <vt:lpstr>MorningStar EM + 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2020-12-04T13:32:29Z</dcterms:modified>
</cp:coreProperties>
</file>