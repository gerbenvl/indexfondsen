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c741cee80ec8cf3/Financieel/IndexFondsenOnderzoek/KeuzeWelkIndexFonds/OnderzoekPerFonds/Xtrackers/"/>
    </mc:Choice>
  </mc:AlternateContent>
  <xr:revisionPtr revIDLastSave="2034" documentId="13_ncr:1_{A6ACE176-4C08-4AFF-ACEF-0847542540D3}" xr6:coauthVersionLast="47" xr6:coauthVersionMax="47" xr10:uidLastSave="{1908B2CE-9448-4EF5-90D4-4AE7B29A34F0}"/>
  <bookViews>
    <workbookView xWindow="-105" yWindow="0" windowWidth="26010" windowHeight="20985" xr2:uid="{00000000-000D-0000-FFFF-FFFF00000000}"/>
  </bookViews>
  <sheets>
    <sheet name="EXUS" sheetId="15" r:id="rId1"/>
    <sheet name="TrackingDifference" sheetId="5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5" l="1"/>
  <c r="B13" i="15"/>
  <c r="C17" i="15"/>
  <c r="B12" i="15"/>
  <c r="D12" i="15"/>
  <c r="B8" i="15"/>
  <c r="C6" i="5"/>
  <c r="H6" i="5"/>
  <c r="C5" i="5"/>
  <c r="G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Gerben</author>
  </authors>
  <commentList>
    <comment ref="G1" authorId="0" shapeId="0" xr:uid="{BC3B4BF2-0E46-4EF7-A78C-8FC9B39EDDF8}">
      <text>
        <r>
          <rPr>
            <b/>
            <sz val="9"/>
            <color indexed="81"/>
            <rFont val="Tahoma"/>
            <family val="2"/>
          </rPr>
          <t>Gerben:</t>
        </r>
        <r>
          <rPr>
            <sz val="9"/>
            <color indexed="81"/>
            <rFont val="Tahoma"/>
            <family val="2"/>
          </rPr>
          <t xml:space="preserve">
Tracking Difference</t>
        </r>
      </text>
    </comment>
    <comment ref="H1" authorId="0" shapeId="0" xr:uid="{4A660686-6E86-4023-9ACD-41E13C92ACF2}">
      <text>
        <r>
          <rPr>
            <b/>
            <sz val="9"/>
            <color indexed="81"/>
            <rFont val="Tahoma"/>
            <family val="2"/>
          </rPr>
          <t>Gerben:</t>
        </r>
        <r>
          <rPr>
            <sz val="9"/>
            <color indexed="81"/>
            <rFont val="Tahoma"/>
            <family val="2"/>
          </rPr>
          <t xml:space="preserve">
Outperformance Netto Index</t>
        </r>
      </text>
    </comment>
  </commentList>
</comments>
</file>

<file path=xl/sharedStrings.xml><?xml version="1.0" encoding="utf-8"?>
<sst xmlns="http://schemas.openxmlformats.org/spreadsheetml/2006/main" count="26" uniqueCount="26">
  <si>
    <t>Gemiddelde</t>
  </si>
  <si>
    <t>Dividend income</t>
  </si>
  <si>
    <t>Securities lending income</t>
  </si>
  <si>
    <t>% lending income</t>
  </si>
  <si>
    <t>Vs gross</t>
  </si>
  <si>
    <t>Vs net</t>
  </si>
  <si>
    <t>TD</t>
  </si>
  <si>
    <t>OPNI</t>
  </si>
  <si>
    <t>Gem performance</t>
  </si>
  <si>
    <t>Dividend</t>
  </si>
  <si>
    <t>Net asset value end of year</t>
  </si>
  <si>
    <t>TER reported</t>
  </si>
  <si>
    <t>Average assets via management fee</t>
  </si>
  <si>
    <t>Foreign Withholding Tax</t>
  </si>
  <si>
    <t>Dividend leakage</t>
  </si>
  <si>
    <t>% dividend leakage</t>
  </si>
  <si>
    <t>Estimated future costs</t>
  </si>
  <si>
    <t>Lending</t>
  </si>
  <si>
    <t>KID % transaction costs</t>
  </si>
  <si>
    <t>Remarks</t>
  </si>
  <si>
    <t>xtrackers EXUS</t>
  </si>
  <si>
    <t>MSCI World ex USA Index (USD) Gross</t>
  </si>
  <si>
    <t>MSCI World ex USA Index (USD) Net</t>
  </si>
  <si>
    <t>Xtrackers MSCI World ex USA UCITS ETF 1C</t>
  </si>
  <si>
    <t xml:space="preserve"> This Fund was launched on 6 March 2024</t>
  </si>
  <si>
    <t>Total operating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</si>
</sst>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_ &quot;€&quot;\ * #,##0_ ;_ &quot;€&quot;\ * \-#,##0_ ;_ &quot;€&quot;\ * &quot;-&quot;??_ ;_ @_ "/>
    <numFmt numFmtId="165" formatCode="0.000%"/>
    <numFmt numFmtId="166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10" fontId="0" fillId="0" borderId="0" xfId="1" applyNumberFormat="1" applyFont="1"/>
    <xf numFmtId="165" fontId="0" fillId="0" borderId="0" xfId="0" applyNumberFormat="1"/>
    <xf numFmtId="10" fontId="0" fillId="0" borderId="0" xfId="0" applyNumberFormat="1"/>
    <xf numFmtId="0" fontId="0" fillId="2" borderId="0" xfId="0" applyFill="1"/>
    <xf numFmtId="0" fontId="2" fillId="2" borderId="0" xfId="0" applyFont="1" applyFill="1"/>
    <xf numFmtId="165" fontId="2" fillId="0" borderId="0" xfId="0" applyNumberFormat="1" applyFont="1"/>
    <xf numFmtId="166" fontId="0" fillId="0" borderId="0" xfId="1" applyNumberFormat="1" applyFont="1"/>
    <xf numFmtId="164" fontId="1" fillId="0" borderId="0" xfId="2" applyNumberFormat="1" applyFont="1" applyFill="1"/>
    <xf numFmtId="164" fontId="0" fillId="0" borderId="0" xfId="2" applyNumberFormat="1" applyFont="1" applyFill="1"/>
    <xf numFmtId="10" fontId="1" fillId="0" borderId="0" xfId="1" applyNumberFormat="1" applyFont="1" applyFill="1"/>
    <xf numFmtId="10" fontId="0" fillId="0" borderId="0" xfId="1" applyNumberFormat="1" applyFont="1" applyFill="1"/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2" fontId="4" fillId="0" borderId="0" xfId="0" applyNumberFormat="1" applyFont="1"/>
    <xf numFmtId="0" fontId="5" fillId="0" borderId="0" xfId="0" applyFont="1"/>
    <xf numFmtId="0" fontId="3" fillId="0" borderId="0" xfId="0" applyFont="1" applyAlignment="1">
      <alignment horizontal="right"/>
    </xf>
    <xf numFmtId="2" fontId="0" fillId="0" borderId="0" xfId="0" applyNumberFormat="1"/>
    <xf numFmtId="165" fontId="1" fillId="0" borderId="0" xfId="1" applyNumberFormat="1" applyFont="1" applyFill="1"/>
    <xf numFmtId="43" fontId="0" fillId="0" borderId="0" xfId="3" applyFont="1"/>
    <xf numFmtId="164" fontId="0" fillId="0" borderId="0" xfId="0" applyNumberFormat="1"/>
    <xf numFmtId="166" fontId="0" fillId="0" borderId="0" xfId="0" applyNumberFormat="1"/>
    <xf numFmtId="10" fontId="4" fillId="0" borderId="0" xfId="0" applyNumberFormat="1" applyFont="1" applyAlignment="1">
      <alignment horizontal="right"/>
    </xf>
    <xf numFmtId="10" fontId="4" fillId="0" borderId="0" xfId="1" applyNumberFormat="1" applyFont="1" applyAlignment="1">
      <alignment horizontal="right"/>
    </xf>
    <xf numFmtId="10" fontId="4" fillId="0" borderId="0" xfId="1" applyNumberFormat="1" applyFont="1"/>
  </cellXfs>
  <cellStyles count="4">
    <cellStyle name="Comma" xfId="3" builtinId="3"/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4F525-ACA9-4457-B165-3A41133FFD52}">
  <dimension ref="A2:J39"/>
  <sheetViews>
    <sheetView tabSelected="1" zoomScale="160" zoomScaleNormal="160" workbookViewId="0"/>
  </sheetViews>
  <sheetFormatPr defaultRowHeight="15" x14ac:dyDescent="0.25"/>
  <cols>
    <col min="1" max="1" width="36.42578125" customWidth="1"/>
    <col min="2" max="3" width="17.7109375" customWidth="1"/>
    <col min="4" max="4" width="13.28515625" customWidth="1"/>
    <col min="6" max="6" width="23.140625" customWidth="1"/>
    <col min="8" max="8" width="13.7109375" bestFit="1" customWidth="1"/>
    <col min="10" max="10" width="9.85546875" bestFit="1" customWidth="1"/>
  </cols>
  <sheetData>
    <row r="2" spans="1:6" x14ac:dyDescent="0.25">
      <c r="A2" s="6" t="s">
        <v>23</v>
      </c>
      <c r="B2" s="5"/>
      <c r="C2" s="5"/>
      <c r="D2" s="5"/>
      <c r="F2" t="s">
        <v>19</v>
      </c>
    </row>
    <row r="3" spans="1:6" x14ac:dyDescent="0.25">
      <c r="F3" t="s">
        <v>24</v>
      </c>
    </row>
    <row r="4" spans="1:6" x14ac:dyDescent="0.25">
      <c r="B4" s="1">
        <v>2024</v>
      </c>
      <c r="C4" s="1">
        <v>2025</v>
      </c>
      <c r="D4" s="1" t="s">
        <v>0</v>
      </c>
    </row>
    <row r="5" spans="1:6" x14ac:dyDescent="0.25">
      <c r="A5" t="s">
        <v>25</v>
      </c>
      <c r="B5" s="10">
        <v>308528</v>
      </c>
      <c r="C5" s="10"/>
    </row>
    <row r="6" spans="1:6" x14ac:dyDescent="0.25">
      <c r="A6" t="s">
        <v>11</v>
      </c>
      <c r="B6" s="11">
        <v>1.5E-3</v>
      </c>
      <c r="C6" s="11">
        <v>1.5E-3</v>
      </c>
    </row>
    <row r="7" spans="1:6" x14ac:dyDescent="0.25">
      <c r="A7" t="s">
        <v>10</v>
      </c>
      <c r="B7" s="9">
        <v>478657272</v>
      </c>
      <c r="C7" s="11"/>
    </row>
    <row r="8" spans="1:6" x14ac:dyDescent="0.25">
      <c r="A8" t="s">
        <v>12</v>
      </c>
      <c r="B8" s="10">
        <f>B5/B6</f>
        <v>205685333.33333334</v>
      </c>
      <c r="C8" s="10"/>
    </row>
    <row r="9" spans="1:6" x14ac:dyDescent="0.25">
      <c r="B9" s="10"/>
      <c r="C9" s="10"/>
    </row>
    <row r="10" spans="1:6" x14ac:dyDescent="0.25">
      <c r="A10" t="s">
        <v>1</v>
      </c>
      <c r="B10" s="10">
        <v>5217430</v>
      </c>
      <c r="C10" s="10"/>
    </row>
    <row r="11" spans="1:6" x14ac:dyDescent="0.25">
      <c r="A11" t="s">
        <v>13</v>
      </c>
      <c r="B11" s="10">
        <v>478637</v>
      </c>
      <c r="C11" s="10"/>
    </row>
    <row r="12" spans="1:6" x14ac:dyDescent="0.25">
      <c r="A12" t="s">
        <v>14</v>
      </c>
      <c r="B12" s="8">
        <f t="shared" ref="B12" si="0">B11/B10</f>
        <v>9.1738077942588592E-2</v>
      </c>
      <c r="C12" s="12"/>
      <c r="D12" s="23">
        <f>AVERAGE(B12:B12)</f>
        <v>9.1738077942588592E-2</v>
      </c>
    </row>
    <row r="13" spans="1:6" x14ac:dyDescent="0.25">
      <c r="A13" t="s">
        <v>15</v>
      </c>
      <c r="B13" s="12">
        <f t="shared" ref="B13" si="1">B11/B8</f>
        <v>2.3270351475392832E-3</v>
      </c>
      <c r="C13" s="12"/>
      <c r="D13" s="23"/>
    </row>
    <row r="14" spans="1:6" x14ac:dyDescent="0.25">
      <c r="A14" t="s">
        <v>9</v>
      </c>
      <c r="B14" s="12">
        <f>B10/B8</f>
        <v>2.5366076984908986E-2</v>
      </c>
      <c r="C14" s="10"/>
    </row>
    <row r="15" spans="1:6" x14ac:dyDescent="0.25">
      <c r="B15" s="10"/>
      <c r="C15" s="10"/>
    </row>
    <row r="16" spans="1:6" x14ac:dyDescent="0.25">
      <c r="A16" t="s">
        <v>2</v>
      </c>
      <c r="B16" s="10">
        <v>0</v>
      </c>
      <c r="C16" s="10"/>
    </row>
    <row r="17" spans="1:10" x14ac:dyDescent="0.25">
      <c r="A17" t="s">
        <v>3</v>
      </c>
      <c r="B17" s="20">
        <v>0</v>
      </c>
      <c r="C17" s="20" t="e">
        <f>C16/C8</f>
        <v>#DIV/0!</v>
      </c>
    </row>
    <row r="18" spans="1:10" x14ac:dyDescent="0.25">
      <c r="B18" s="10"/>
      <c r="C18" s="10"/>
    </row>
    <row r="19" spans="1:10" x14ac:dyDescent="0.25">
      <c r="B19" s="12"/>
      <c r="C19" s="12"/>
    </row>
    <row r="20" spans="1:10" x14ac:dyDescent="0.25">
      <c r="A20" t="s">
        <v>18</v>
      </c>
      <c r="C20" s="2">
        <v>1E-4</v>
      </c>
    </row>
    <row r="22" spans="1:10" x14ac:dyDescent="0.25">
      <c r="B22" s="7"/>
      <c r="C22" s="7"/>
      <c r="H22" s="4"/>
    </row>
    <row r="23" spans="1:10" x14ac:dyDescent="0.25">
      <c r="A23" s="1" t="s">
        <v>16</v>
      </c>
      <c r="H23" s="21"/>
    </row>
    <row r="24" spans="1:10" x14ac:dyDescent="0.25">
      <c r="A24" t="s">
        <v>17</v>
      </c>
      <c r="B24" s="20">
        <v>0</v>
      </c>
    </row>
    <row r="25" spans="1:10" x14ac:dyDescent="0.25">
      <c r="D25" s="3"/>
    </row>
    <row r="26" spans="1:10" x14ac:dyDescent="0.25">
      <c r="A26" s="1"/>
      <c r="D26" s="3"/>
    </row>
    <row r="27" spans="1:10" x14ac:dyDescent="0.25">
      <c r="D27" s="3"/>
    </row>
    <row r="28" spans="1:10" x14ac:dyDescent="0.25">
      <c r="D28" s="3"/>
    </row>
    <row r="29" spans="1:10" x14ac:dyDescent="0.25">
      <c r="B29" s="7"/>
      <c r="C29" s="7"/>
      <c r="D29" s="3"/>
      <c r="H29" s="2"/>
      <c r="J29" s="22"/>
    </row>
    <row r="30" spans="1:10" x14ac:dyDescent="0.25">
      <c r="B30" s="7"/>
      <c r="C30" s="7"/>
      <c r="D30" s="3"/>
    </row>
    <row r="31" spans="1:10" x14ac:dyDescent="0.25">
      <c r="B31" s="7"/>
      <c r="C31" s="7"/>
      <c r="D31" s="3"/>
    </row>
    <row r="32" spans="1:10" x14ac:dyDescent="0.25">
      <c r="B32" s="7"/>
      <c r="C32" s="7"/>
      <c r="D32" s="3"/>
    </row>
    <row r="33" spans="1:4" x14ac:dyDescent="0.25">
      <c r="A33" s="1"/>
      <c r="B33" s="7"/>
      <c r="C33" s="7"/>
      <c r="D33" s="3"/>
    </row>
    <row r="34" spans="1:4" x14ac:dyDescent="0.25">
      <c r="A34" s="1"/>
      <c r="B34" s="7"/>
      <c r="C34" s="7"/>
      <c r="D34" s="3"/>
    </row>
    <row r="35" spans="1:4" x14ac:dyDescent="0.25">
      <c r="A35" s="1"/>
      <c r="B35" s="7"/>
      <c r="C35" s="7"/>
      <c r="D35" s="3"/>
    </row>
    <row r="36" spans="1:4" x14ac:dyDescent="0.25">
      <c r="A36" s="1"/>
      <c r="B36" s="7"/>
      <c r="C36" s="7"/>
      <c r="D36" s="3"/>
    </row>
    <row r="37" spans="1:4" x14ac:dyDescent="0.25">
      <c r="A37" s="1"/>
      <c r="B37" s="7"/>
      <c r="C37" s="7"/>
      <c r="D37" s="3"/>
    </row>
    <row r="38" spans="1:4" x14ac:dyDescent="0.25">
      <c r="A38" s="1"/>
      <c r="B38" s="7"/>
      <c r="C38" s="7"/>
      <c r="D38" s="3"/>
    </row>
    <row r="39" spans="1:4" x14ac:dyDescent="0.25">
      <c r="A39" s="1"/>
      <c r="B39" s="7"/>
      <c r="C39" s="7"/>
      <c r="D3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30D2-0890-4532-8ABA-CDB206A2E066}">
  <dimension ref="B1:H24"/>
  <sheetViews>
    <sheetView zoomScale="130" zoomScaleNormal="130" workbookViewId="0">
      <selection activeCell="B2" sqref="B2"/>
    </sheetView>
  </sheetViews>
  <sheetFormatPr defaultRowHeight="15" x14ac:dyDescent="0.25"/>
  <cols>
    <col min="2" max="2" width="56.5703125" bestFit="1" customWidth="1"/>
    <col min="5" max="5" width="18.5703125" customWidth="1"/>
    <col min="9" max="9" width="11.85546875" customWidth="1"/>
  </cols>
  <sheetData>
    <row r="1" spans="2:8" x14ac:dyDescent="0.25">
      <c r="C1" s="18">
        <v>2025</v>
      </c>
      <c r="D1" s="18"/>
      <c r="E1" s="13" t="s">
        <v>8</v>
      </c>
      <c r="F1" s="15"/>
      <c r="G1" s="13" t="s">
        <v>6</v>
      </c>
      <c r="H1" s="13" t="s">
        <v>7</v>
      </c>
    </row>
    <row r="2" spans="2:8" x14ac:dyDescent="0.25">
      <c r="B2" s="13" t="s">
        <v>20</v>
      </c>
      <c r="C2" s="24">
        <v>0.31979999999999997</v>
      </c>
      <c r="D2" s="14"/>
      <c r="E2" s="16"/>
      <c r="F2" s="15"/>
      <c r="G2" s="15"/>
      <c r="H2" s="15"/>
    </row>
    <row r="3" spans="2:8" x14ac:dyDescent="0.25">
      <c r="B3" s="13" t="s">
        <v>21</v>
      </c>
      <c r="C3" s="24">
        <v>0.32550000000000001</v>
      </c>
      <c r="D3" s="14"/>
      <c r="E3" s="15"/>
      <c r="F3" s="15"/>
      <c r="G3" s="16"/>
      <c r="H3" s="16"/>
    </row>
    <row r="4" spans="2:8" x14ac:dyDescent="0.25">
      <c r="B4" s="13" t="s">
        <v>22</v>
      </c>
      <c r="C4" s="24">
        <v>0.31850000000000001</v>
      </c>
      <c r="D4" s="14"/>
      <c r="E4" s="15"/>
      <c r="F4" s="15"/>
      <c r="G4" s="16"/>
      <c r="H4" s="16"/>
    </row>
    <row r="5" spans="2:8" x14ac:dyDescent="0.25">
      <c r="B5" s="13" t="s">
        <v>4</v>
      </c>
      <c r="C5" s="25">
        <f>C3-C2</f>
        <v>5.7000000000000384E-3</v>
      </c>
      <c r="D5" s="14"/>
      <c r="E5" s="15"/>
      <c r="F5" s="15"/>
      <c r="G5" s="26">
        <f>AVERAGE(C5:C5)</f>
        <v>5.7000000000000384E-3</v>
      </c>
      <c r="H5" s="16"/>
    </row>
    <row r="6" spans="2:8" x14ac:dyDescent="0.25">
      <c r="B6" s="13" t="s">
        <v>5</v>
      </c>
      <c r="C6" s="25">
        <f>C2-C4</f>
        <v>1.2999999999999678E-3</v>
      </c>
      <c r="D6" s="14"/>
      <c r="E6" s="15"/>
      <c r="F6" s="15"/>
      <c r="G6" s="16"/>
      <c r="H6" s="26">
        <f>AVERAGE(C6:C6)</f>
        <v>1.2999999999999678E-3</v>
      </c>
    </row>
    <row r="7" spans="2:8" x14ac:dyDescent="0.25">
      <c r="E7" s="15"/>
    </row>
    <row r="8" spans="2:8" x14ac:dyDescent="0.25">
      <c r="E8" s="15"/>
    </row>
    <row r="9" spans="2:8" x14ac:dyDescent="0.25">
      <c r="B9" s="13"/>
      <c r="C9" s="19"/>
      <c r="D9" s="19"/>
      <c r="G9" s="19"/>
    </row>
    <row r="10" spans="2:8" x14ac:dyDescent="0.25">
      <c r="B10" s="13"/>
    </row>
    <row r="13" spans="2:8" x14ac:dyDescent="0.25">
      <c r="B13" s="13"/>
    </row>
    <row r="14" spans="2:8" x14ac:dyDescent="0.25">
      <c r="B14" s="13"/>
    </row>
    <row r="15" spans="2:8" x14ac:dyDescent="0.25">
      <c r="B15" s="13"/>
    </row>
    <row r="16" spans="2:8" x14ac:dyDescent="0.25">
      <c r="B16" s="13"/>
      <c r="G16" s="19"/>
    </row>
    <row r="17" spans="2:8" x14ac:dyDescent="0.25">
      <c r="B17" s="13"/>
    </row>
    <row r="20" spans="2:8" x14ac:dyDescent="0.25">
      <c r="B20" s="13"/>
      <c r="E20" s="19"/>
    </row>
    <row r="21" spans="2:8" x14ac:dyDescent="0.25">
      <c r="B21" s="17"/>
    </row>
    <row r="22" spans="2:8" x14ac:dyDescent="0.25">
      <c r="B22" s="17"/>
    </row>
    <row r="23" spans="2:8" x14ac:dyDescent="0.25">
      <c r="B23" s="13"/>
      <c r="G23" s="19"/>
    </row>
    <row r="24" spans="2:8" x14ac:dyDescent="0.25">
      <c r="B24" s="13"/>
      <c r="G24" s="19"/>
      <c r="H24" s="19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EXUS</vt:lpstr>
      <vt:lpstr>TrackingDifference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</dc:creator>
  <cp:lastModifiedBy>Gerben van Loon</cp:lastModifiedBy>
  <dcterms:created xsi:type="dcterms:W3CDTF">2015-06-05T18:19:34Z</dcterms:created>
  <dcterms:modified xsi:type="dcterms:W3CDTF">2026-01-16T10:22:03Z</dcterms:modified>
</cp:coreProperties>
</file>