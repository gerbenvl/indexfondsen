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ben\Google Drive\Financieel\IndexFondsen\KeuzeWelkIndexFonds\OnderzoekPerFonds\NN-Fitvermogen\"/>
    </mc:Choice>
  </mc:AlternateContent>
  <xr:revisionPtr revIDLastSave="0" documentId="13_ncr:1_{6949D7F0-0CCB-43FD-849D-3630A040319A}" xr6:coauthVersionLast="45" xr6:coauthVersionMax="45" xr10:uidLastSave="{00000000-0000-0000-0000-000000000000}"/>
  <bookViews>
    <workbookView xWindow="8295" yWindow="3705" windowWidth="28800" windowHeight="15435" xr2:uid="{DC6A66A5-4117-4406-B3CA-45E9AC999DDA}"/>
  </bookViews>
  <sheets>
    <sheet name="N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6" i="1" l="1"/>
  <c r="B27" i="1" l="1"/>
  <c r="B16" i="1"/>
  <c r="B15" i="1"/>
  <c r="C19" i="1" l="1"/>
  <c r="B19" i="1"/>
  <c r="C25" i="1" l="1"/>
  <c r="B25" i="1"/>
  <c r="E5" i="1" s="1"/>
  <c r="C15" i="1" l="1"/>
  <c r="C18" i="1" s="1"/>
  <c r="E3" i="1" l="1"/>
  <c r="B18" i="1"/>
  <c r="F25" i="1"/>
  <c r="D25" i="1"/>
  <c r="E25" i="1"/>
  <c r="I5" i="1" l="1"/>
  <c r="K5" i="1" s="1"/>
  <c r="I3" i="1"/>
  <c r="K3" i="1" s="1"/>
  <c r="K7" i="1" l="1"/>
</calcChain>
</file>

<file path=xl/sharedStrings.xml><?xml version="1.0" encoding="utf-8"?>
<sst xmlns="http://schemas.openxmlformats.org/spreadsheetml/2006/main" count="13" uniqueCount="8">
  <si>
    <t>DM</t>
  </si>
  <si>
    <t>EM</t>
  </si>
  <si>
    <t>Per 1 februari 2019 pas indexer</t>
  </si>
  <si>
    <t>deze laatste is een gok</t>
  </si>
  <si>
    <t>Per 29 juni 2018 is de naam van het Fonds gewijzigd van Delta Lloyd Equity Sustainable Global Fund A in NN Enhanced Index Sustainable Equity Fund A.</t>
  </si>
  <si>
    <t>Transactiekosten</t>
  </si>
  <si>
    <t>Vermogen</t>
  </si>
  <si>
    <t>Omloopsnelheid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</si>
</sst>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0.000%"/>
    <numFmt numFmtId="166" formatCode="_ * #,##0_ ;_ * \-#,##0_ ;_ * &quot;-&quot;??_ ;_ @_ "/>
    <numFmt numFmtId="167" formatCode="0.0000%"/>
    <numFmt numFmtId="168" formatCode="0.0%"/>
    <numFmt numFmtId="169" formatCode="_ * #,##0.0_ ;_ * \-#,##0.0_ ;_ * &quot;-&quot;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3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2" fillId="0" borderId="0" xfId="0" applyFont="1"/>
    <xf numFmtId="166" fontId="0" fillId="0" borderId="0" xfId="2" applyNumberFormat="1" applyFont="1"/>
    <xf numFmtId="2" fontId="0" fillId="0" borderId="1" xfId="0" applyNumberFormat="1" applyBorder="1"/>
    <xf numFmtId="0" fontId="0" fillId="0" borderId="1" xfId="0" applyBorder="1"/>
    <xf numFmtId="166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67" fontId="0" fillId="0" borderId="0" xfId="1" applyNumberFormat="1" applyFont="1"/>
    <xf numFmtId="2" fontId="0" fillId="0" borderId="0" xfId="0" applyNumberFormat="1"/>
    <xf numFmtId="164" fontId="0" fillId="0" borderId="0" xfId="0" applyNumberFormat="1"/>
    <xf numFmtId="2" fontId="0" fillId="0" borderId="0" xfId="0" applyNumberFormat="1" applyBorder="1"/>
    <xf numFmtId="0" fontId="0" fillId="0" borderId="0" xfId="0" applyBorder="1"/>
    <xf numFmtId="167" fontId="0" fillId="0" borderId="0" xfId="0" applyNumberFormat="1"/>
    <xf numFmtId="168" fontId="0" fillId="0" borderId="0" xfId="1" applyNumberFormat="1" applyFont="1"/>
    <xf numFmtId="166" fontId="0" fillId="0" borderId="0" xfId="1" applyNumberFormat="1" applyFont="1"/>
    <xf numFmtId="169" fontId="0" fillId="0" borderId="0" xfId="0" applyNumberFormat="1"/>
    <xf numFmtId="0" fontId="3" fillId="0" borderId="0" xfId="3"/>
    <xf numFmtId="165" fontId="0" fillId="0" borderId="0" xfId="1" applyNumberFormat="1" applyFont="1" applyBorder="1"/>
    <xf numFmtId="10" fontId="0" fillId="0" borderId="0" xfId="1" applyNumberFormat="1" applyFont="1" applyBorder="1"/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F5CD-3522-4A3D-AF8A-8E57743A5ACD}">
  <dimension ref="A3:M98"/>
  <sheetViews>
    <sheetView tabSelected="1" zoomScaleNormal="100" workbookViewId="0">
      <selection activeCell="C16" sqref="C16"/>
    </sheetView>
  </sheetViews>
  <sheetFormatPr defaultRowHeight="15" x14ac:dyDescent="0.25"/>
  <cols>
    <col min="1" max="1" width="21.7109375" customWidth="1"/>
    <col min="2" max="2" width="12.5703125" bestFit="1" customWidth="1"/>
    <col min="3" max="3" width="17.42578125" bestFit="1" customWidth="1"/>
    <col min="4" max="5" width="16.28515625" bestFit="1" customWidth="1"/>
    <col min="6" max="6" width="11" bestFit="1" customWidth="1"/>
    <col min="8" max="8" width="16" customWidth="1"/>
    <col min="9" max="9" width="17.85546875" bestFit="1" customWidth="1"/>
    <col min="10" max="10" width="16.7109375" bestFit="1" customWidth="1"/>
    <col min="11" max="11" width="17.28515625" customWidth="1"/>
    <col min="12" max="12" width="14.7109375" bestFit="1" customWidth="1"/>
    <col min="13" max="13" width="11.140625" bestFit="1" customWidth="1"/>
  </cols>
  <sheetData>
    <row r="3" spans="1:11" x14ac:dyDescent="0.25">
      <c r="B3" t="s">
        <v>0</v>
      </c>
      <c r="C3">
        <v>656</v>
      </c>
      <c r="D3" s="1">
        <v>1439312</v>
      </c>
      <c r="E3" s="9">
        <f>AVERAGE(B15:C15)/1000</f>
        <v>5.5788393977886271E-4</v>
      </c>
      <c r="G3" s="3">
        <v>1.75E-3</v>
      </c>
      <c r="I3" s="3">
        <f>G3+E3</f>
        <v>2.3078839397788625E-3</v>
      </c>
      <c r="K3" s="3">
        <f>I3*88%</f>
        <v>2.0309378670053989E-3</v>
      </c>
    </row>
    <row r="4" spans="1:11" x14ac:dyDescent="0.25">
      <c r="E4" s="2"/>
    </row>
    <row r="5" spans="1:11" x14ac:dyDescent="0.25">
      <c r="B5" t="s">
        <v>1</v>
      </c>
      <c r="C5">
        <v>191</v>
      </c>
      <c r="D5" s="1">
        <v>177693</v>
      </c>
      <c r="E5" s="2">
        <f>AVERAGE(B25:C25)/1000</f>
        <v>2.2315214227798417E-3</v>
      </c>
      <c r="G5" s="3">
        <v>3.0000000000000001E-3</v>
      </c>
      <c r="I5" s="3">
        <f>G5+E5</f>
        <v>5.2315214227798418E-3</v>
      </c>
      <c r="K5" s="3">
        <f>I5*12%</f>
        <v>6.2778257073358096E-4</v>
      </c>
    </row>
    <row r="7" spans="1:11" x14ac:dyDescent="0.25">
      <c r="K7" s="3">
        <f>SUM(K3:K5)</f>
        <v>2.6587204377389799E-3</v>
      </c>
    </row>
    <row r="8" spans="1:11" x14ac:dyDescent="0.25">
      <c r="K8" s="3"/>
    </row>
    <row r="11" spans="1:11" x14ac:dyDescent="0.25">
      <c r="A11" s="4" t="s">
        <v>0</v>
      </c>
      <c r="B11" s="4">
        <v>2019</v>
      </c>
      <c r="C11" s="4">
        <v>2018</v>
      </c>
      <c r="D11" s="4">
        <v>2017</v>
      </c>
      <c r="J11" t="s">
        <v>4</v>
      </c>
    </row>
    <row r="12" spans="1:11" x14ac:dyDescent="0.25">
      <c r="A12" t="s">
        <v>5</v>
      </c>
      <c r="B12" s="5">
        <v>872</v>
      </c>
      <c r="C12" s="5">
        <v>656</v>
      </c>
      <c r="D12" s="5"/>
      <c r="E12" s="5"/>
      <c r="F12" s="5"/>
    </row>
    <row r="13" spans="1:11" x14ac:dyDescent="0.25">
      <c r="A13" t="s">
        <v>6</v>
      </c>
      <c r="B13" s="5">
        <v>1321223</v>
      </c>
      <c r="C13" s="5">
        <v>1439312</v>
      </c>
      <c r="D13" s="5"/>
      <c r="E13" s="5"/>
      <c r="F13" s="5"/>
    </row>
    <row r="14" spans="1:11" x14ac:dyDescent="0.25">
      <c r="A14" t="s">
        <v>7</v>
      </c>
      <c r="B14" s="5">
        <v>135</v>
      </c>
      <c r="C14" s="5">
        <v>81</v>
      </c>
      <c r="D14" s="5">
        <v>73</v>
      </c>
      <c r="E14" s="5"/>
      <c r="F14" s="5"/>
    </row>
    <row r="15" spans="1:11" x14ac:dyDescent="0.25">
      <c r="B15" s="6">
        <f>(B12/B13)*1000</f>
        <v>0.6599945656410765</v>
      </c>
      <c r="C15" s="6">
        <f>(C12/C13)*1000</f>
        <v>0.45577331391664905</v>
      </c>
      <c r="D15" s="7"/>
      <c r="E15" s="7"/>
      <c r="F15" s="7"/>
    </row>
    <row r="16" spans="1:11" x14ac:dyDescent="0.25">
      <c r="B16" s="21">
        <f>B12/B13</f>
        <v>6.5999456564107652E-4</v>
      </c>
      <c r="C16" s="22">
        <f>C12/C13</f>
        <v>4.5577331391664905E-4</v>
      </c>
      <c r="D16" s="15"/>
      <c r="E16" s="15"/>
      <c r="F16" s="15"/>
    </row>
    <row r="17" spans="1:10" x14ac:dyDescent="0.25">
      <c r="B17" s="14"/>
      <c r="C17" s="14"/>
      <c r="D17" s="15"/>
      <c r="E17" s="15"/>
      <c r="F17" s="15"/>
    </row>
    <row r="18" spans="1:10" x14ac:dyDescent="0.25">
      <c r="B18" s="9">
        <f>B15/100</f>
        <v>6.5999456564107654E-3</v>
      </c>
      <c r="C18" s="9">
        <f>C15/100</f>
        <v>4.5577331391664904E-3</v>
      </c>
    </row>
    <row r="19" spans="1:10" x14ac:dyDescent="0.25">
      <c r="B19" s="13">
        <f>B14*0.08%</f>
        <v>0.108</v>
      </c>
      <c r="C19" s="13">
        <f>C14*0.08%</f>
        <v>6.4799999999999996E-2</v>
      </c>
    </row>
    <row r="21" spans="1:10" x14ac:dyDescent="0.25">
      <c r="A21" s="4" t="s">
        <v>1</v>
      </c>
      <c r="B21" s="4">
        <v>2019</v>
      </c>
      <c r="C21" s="4">
        <v>2018</v>
      </c>
      <c r="D21" s="4">
        <v>2017</v>
      </c>
      <c r="E21" s="4">
        <v>2016</v>
      </c>
      <c r="F21" s="4">
        <v>2015</v>
      </c>
      <c r="J21" t="s">
        <v>2</v>
      </c>
    </row>
    <row r="22" spans="1:10" x14ac:dyDescent="0.25">
      <c r="A22" t="s">
        <v>5</v>
      </c>
      <c r="B22" s="5">
        <v>761</v>
      </c>
      <c r="C22" s="5">
        <v>191</v>
      </c>
      <c r="D22" s="5">
        <v>759</v>
      </c>
      <c r="E22" s="5">
        <v>2922</v>
      </c>
      <c r="F22" s="5">
        <v>2003</v>
      </c>
    </row>
    <row r="23" spans="1:10" x14ac:dyDescent="0.25">
      <c r="A23" t="s">
        <v>6</v>
      </c>
      <c r="B23" s="5">
        <v>224606</v>
      </c>
      <c r="C23" s="5">
        <v>177693</v>
      </c>
      <c r="D23" s="5">
        <v>216688</v>
      </c>
      <c r="E23" s="5">
        <v>753874</v>
      </c>
      <c r="F23" s="5">
        <v>524800</v>
      </c>
      <c r="G23" t="s">
        <v>3</v>
      </c>
    </row>
    <row r="24" spans="1:10" x14ac:dyDescent="0.25">
      <c r="A24" t="s">
        <v>7</v>
      </c>
      <c r="B24" s="5">
        <v>152</v>
      </c>
      <c r="C24" s="5">
        <v>-17</v>
      </c>
      <c r="D24" s="5">
        <v>88</v>
      </c>
      <c r="E24" s="5"/>
      <c r="F24" s="5"/>
    </row>
    <row r="25" spans="1:10" x14ac:dyDescent="0.25">
      <c r="B25" s="6">
        <f>(B22/B23)*1000</f>
        <v>3.3881552585416244</v>
      </c>
      <c r="C25" s="6">
        <f>(C22/C23)*1000</f>
        <v>1.0748875870180592</v>
      </c>
      <c r="D25" s="6">
        <f t="shared" ref="D25:F25" si="0">(D22/D23)*1000</f>
        <v>3.5027320386915748</v>
      </c>
      <c r="E25" s="6">
        <f t="shared" si="0"/>
        <v>3.8759792750512685</v>
      </c>
      <c r="F25" s="6">
        <f t="shared" si="0"/>
        <v>3.8166920731707314</v>
      </c>
    </row>
    <row r="27" spans="1:10" x14ac:dyDescent="0.25">
      <c r="B27" s="2">
        <f>B22/B23</f>
        <v>3.3881552585416242E-3</v>
      </c>
    </row>
    <row r="31" spans="1:10" x14ac:dyDescent="0.25">
      <c r="B31" s="4"/>
    </row>
    <row r="33" spans="3:13" x14ac:dyDescent="0.25">
      <c r="I33" s="4"/>
      <c r="J33" s="4"/>
      <c r="K33" s="4"/>
      <c r="L33" s="4"/>
    </row>
    <row r="34" spans="3:13" x14ac:dyDescent="0.25">
      <c r="C34" s="12"/>
    </row>
    <row r="37" spans="3:13" x14ac:dyDescent="0.25">
      <c r="C37" s="5"/>
      <c r="D37" s="5"/>
      <c r="E37" s="5"/>
    </row>
    <row r="38" spans="3:13" x14ac:dyDescent="0.25">
      <c r="C38" s="5"/>
      <c r="D38" s="5"/>
      <c r="E38" s="5"/>
    </row>
    <row r="39" spans="3:13" x14ac:dyDescent="0.25">
      <c r="C39" s="8"/>
      <c r="D39" s="8"/>
      <c r="E39" s="8"/>
    </row>
    <row r="40" spans="3:13" x14ac:dyDescent="0.25">
      <c r="I40" s="5"/>
      <c r="J40" s="5"/>
      <c r="K40" s="5"/>
      <c r="L40" s="5"/>
    </row>
    <row r="41" spans="3:13" x14ac:dyDescent="0.25">
      <c r="C41" s="5"/>
      <c r="D41" s="5"/>
      <c r="E41" s="5"/>
    </row>
    <row r="42" spans="3:13" x14ac:dyDescent="0.25">
      <c r="I42" s="11"/>
      <c r="J42" s="2"/>
      <c r="K42" s="2"/>
      <c r="L42" s="2"/>
    </row>
    <row r="43" spans="3:13" x14ac:dyDescent="0.25">
      <c r="C43" s="9"/>
      <c r="D43" s="9"/>
      <c r="E43" s="9"/>
      <c r="F43" s="10"/>
      <c r="I43" s="2"/>
      <c r="J43" s="2"/>
      <c r="K43" s="2"/>
      <c r="L43" s="2"/>
    </row>
    <row r="44" spans="3:13" x14ac:dyDescent="0.25">
      <c r="C44" s="9"/>
      <c r="D44" s="9"/>
      <c r="E44" s="9"/>
      <c r="F44" s="10"/>
      <c r="I44" s="9"/>
      <c r="J44" s="9"/>
      <c r="K44" s="9"/>
      <c r="L44" s="10"/>
    </row>
    <row r="45" spans="3:13" x14ac:dyDescent="0.25">
      <c r="I45" s="16"/>
      <c r="J45" s="16"/>
      <c r="K45" s="16"/>
      <c r="L45" s="16"/>
      <c r="M45" s="3"/>
    </row>
    <row r="50" spans="2:7" x14ac:dyDescent="0.25">
      <c r="F50" s="4"/>
      <c r="G50" s="4"/>
    </row>
    <row r="51" spans="2:7" x14ac:dyDescent="0.25">
      <c r="B51" s="4"/>
      <c r="C51" s="4"/>
      <c r="E51" s="4"/>
    </row>
    <row r="52" spans="2:7" x14ac:dyDescent="0.25">
      <c r="B52" s="4"/>
      <c r="E52" s="4"/>
    </row>
    <row r="53" spans="2:7" x14ac:dyDescent="0.25">
      <c r="B53" s="4"/>
      <c r="C53" s="5"/>
      <c r="F53" s="17"/>
      <c r="G53" s="17"/>
    </row>
    <row r="54" spans="2:7" x14ac:dyDescent="0.25">
      <c r="C54" s="9"/>
    </row>
    <row r="56" spans="2:7" x14ac:dyDescent="0.25">
      <c r="B56" s="4"/>
      <c r="C56" s="9"/>
    </row>
    <row r="57" spans="2:7" x14ac:dyDescent="0.25">
      <c r="B57" s="4"/>
      <c r="C57" s="10"/>
    </row>
    <row r="58" spans="2:7" x14ac:dyDescent="0.25">
      <c r="B58" s="4"/>
      <c r="C58" s="9"/>
    </row>
    <row r="59" spans="2:7" x14ac:dyDescent="0.25">
      <c r="B59" s="4"/>
      <c r="C59" s="9"/>
    </row>
    <row r="60" spans="2:7" x14ac:dyDescent="0.25">
      <c r="C60" s="10"/>
    </row>
    <row r="65" spans="2:5" x14ac:dyDescent="0.25">
      <c r="C65" s="4"/>
      <c r="D65" s="4"/>
    </row>
    <row r="66" spans="2:5" x14ac:dyDescent="0.25">
      <c r="B66" s="4"/>
      <c r="C66" s="5"/>
    </row>
    <row r="67" spans="2:5" x14ac:dyDescent="0.25">
      <c r="B67" s="4"/>
      <c r="C67" s="5"/>
    </row>
    <row r="68" spans="2:5" x14ac:dyDescent="0.25">
      <c r="C68" s="18"/>
      <c r="E68" s="19"/>
    </row>
    <row r="70" spans="2:5" x14ac:dyDescent="0.25">
      <c r="C70" s="17"/>
    </row>
    <row r="73" spans="2:5" x14ac:dyDescent="0.25">
      <c r="B73" s="20"/>
    </row>
    <row r="74" spans="2:5" x14ac:dyDescent="0.25">
      <c r="B74" s="10"/>
    </row>
    <row r="75" spans="2:5" x14ac:dyDescent="0.25">
      <c r="B75" s="10"/>
    </row>
    <row r="76" spans="2:5" x14ac:dyDescent="0.25">
      <c r="B76" s="10"/>
    </row>
    <row r="77" spans="2:5" x14ac:dyDescent="0.25">
      <c r="B77" s="10"/>
    </row>
    <row r="78" spans="2:5" x14ac:dyDescent="0.25">
      <c r="B78" s="10"/>
    </row>
    <row r="79" spans="2:5" x14ac:dyDescent="0.25">
      <c r="B79" s="10"/>
    </row>
    <row r="80" spans="2:5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8" spans="2:2" x14ac:dyDescent="0.25">
      <c r="B98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</cp:lastModifiedBy>
  <dcterms:created xsi:type="dcterms:W3CDTF">2020-04-18T15:57:37Z</dcterms:created>
  <dcterms:modified xsi:type="dcterms:W3CDTF">2020-11-01T16:29:29Z</dcterms:modified>
</cp:coreProperties>
</file>