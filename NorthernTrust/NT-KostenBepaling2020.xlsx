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D:\GoogleDrive\Financieel\Aandelen\KeuzeWelkIndexFonds\PerFonds\NorthernTrust\"/>
    </mc:Choice>
  </mc:AlternateContent>
  <xr:revisionPtr revIDLastSave="0" documentId="13_ncr:1_{06A6493C-7BCC-4130-990A-B109A1FAEF8A}" xr6:coauthVersionLast="45" xr6:coauthVersionMax="45" xr10:uidLastSave="{00000000-0000-0000-0000-000000000000}"/>
  <bookViews>
    <workbookView xWindow="-120" yWindow="-120" windowWidth="29040" windowHeight="15840" activeTab="2" xr2:uid="{00000000-000D-0000-FFFF-FFFF00000000}"/>
  </bookViews>
  <sheets>
    <sheet name="Aannames" sheetId="4" r:id="rId1"/>
    <sheet name="MarketCap" sheetId="7" r:id="rId2"/>
    <sheet name="World" sheetId="1" r:id="rId3"/>
    <sheet name="Emerging" sheetId="5" r:id="rId4"/>
    <sheet name="SmallCaps" sheetId="6" r:id="rId5"/>
    <sheet name="Northern Trust Master fondsen" sheetId="2" r:id="rId6"/>
    <sheet name="Tracking Difference" sheetId="3"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O8" i="3" l="1"/>
  <c r="H8" i="3"/>
  <c r="I8" i="3"/>
  <c r="J8" i="3"/>
  <c r="G8" i="3"/>
  <c r="C22" i="1" l="1"/>
  <c r="O6" i="3"/>
  <c r="C21" i="1"/>
  <c r="C23" i="1" l="1"/>
  <c r="C28" i="1" s="1"/>
  <c r="C15" i="5"/>
  <c r="H12" i="5"/>
  <c r="H14" i="1" l="1"/>
  <c r="I6" i="7" l="1"/>
  <c r="I7" i="7"/>
  <c r="I5" i="7"/>
  <c r="H8" i="7"/>
  <c r="H16" i="7" l="1"/>
  <c r="H9" i="7"/>
  <c r="H13" i="7"/>
  <c r="H12" i="7"/>
  <c r="H7" i="7"/>
  <c r="H6" i="7"/>
  <c r="H5" i="7"/>
  <c r="C9" i="7" l="1"/>
  <c r="C19" i="5"/>
  <c r="C16" i="5"/>
  <c r="C17" i="5" s="1"/>
  <c r="C20" i="5" s="1"/>
  <c r="K6" i="7" s="1"/>
  <c r="L6" i="7" s="1"/>
  <c r="H10" i="6"/>
  <c r="F8" i="6"/>
  <c r="H8" i="6" s="1"/>
  <c r="F7" i="6"/>
  <c r="H7" i="6" s="1"/>
  <c r="F13" i="5"/>
  <c r="E13" i="5"/>
  <c r="D13" i="5"/>
  <c r="C13" i="5"/>
  <c r="F12" i="5"/>
  <c r="E12" i="5"/>
  <c r="D12" i="5"/>
  <c r="C12" i="5"/>
  <c r="H8" i="5"/>
  <c r="F7" i="5"/>
  <c r="E7" i="5"/>
  <c r="D7" i="5"/>
  <c r="C7" i="5"/>
  <c r="C18" i="1"/>
  <c r="J16" i="3"/>
  <c r="I16" i="3"/>
  <c r="H16" i="3"/>
  <c r="G16" i="3"/>
  <c r="J15" i="3"/>
  <c r="I15" i="3"/>
  <c r="H15" i="3"/>
  <c r="G15" i="3"/>
  <c r="J7" i="3"/>
  <c r="I7" i="3"/>
  <c r="H7" i="3"/>
  <c r="G7" i="3"/>
  <c r="M7" i="3" s="1"/>
  <c r="J6" i="3"/>
  <c r="I6" i="3"/>
  <c r="H6" i="3"/>
  <c r="G6" i="3"/>
  <c r="H7" i="5" l="1"/>
  <c r="H13" i="5"/>
  <c r="C17" i="6"/>
  <c r="F9" i="6"/>
  <c r="C20" i="6" s="1"/>
  <c r="K7" i="7" s="1"/>
  <c r="L7" i="7" s="1"/>
  <c r="L15" i="3"/>
  <c r="M16" i="3"/>
  <c r="L6" i="3"/>
  <c r="D15" i="1"/>
  <c r="E15" i="1"/>
  <c r="F15" i="1"/>
  <c r="C15" i="1"/>
  <c r="D14" i="1"/>
  <c r="E14" i="1"/>
  <c r="F14" i="1"/>
  <c r="C14" i="1"/>
  <c r="H15" i="1" l="1"/>
  <c r="D6" i="2"/>
  <c r="E6" i="2"/>
  <c r="F6" i="2"/>
  <c r="G12" i="2"/>
  <c r="F7" i="1"/>
  <c r="E7" i="1"/>
  <c r="D7" i="1"/>
  <c r="C7" i="1"/>
  <c r="H10" i="1" l="1"/>
  <c r="G5" i="2"/>
  <c r="G6" i="2" s="1"/>
  <c r="D8" i="1" l="1"/>
  <c r="D9" i="1" s="1"/>
  <c r="C8" i="1"/>
  <c r="E8" i="1"/>
  <c r="E9" i="1" s="1"/>
  <c r="C9" i="1" l="1"/>
  <c r="F8" i="1" l="1"/>
  <c r="F9" i="1" s="1"/>
  <c r="H9" i="1" l="1"/>
  <c r="C25" i="1" l="1"/>
  <c r="C17" i="1"/>
  <c r="C19" i="1" s="1"/>
  <c r="C27" i="1" s="1"/>
  <c r="K5" i="7" s="1"/>
  <c r="L5" i="7" s="1"/>
  <c r="L8"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tc={32D85BBB-ADB9-436B-A8F2-4522899AD645}</author>
  </authors>
  <commentList>
    <comment ref="B6" authorId="0" shapeId="0" xr:uid="{32D85BBB-ADB9-436B-A8F2-4522899AD645}">
      <text>
        <t>[Opmerkingenthread]
U kunt deze opmerkingenthread lezen in uw versie van Excel. Eventuele wijzigingen aan de thread gaan echter verloren als het bestand wordt geopend in een nieuwere versie van Excel. Meer informatie: https://go.microsoft.com/fwlink/?linkid=870924
Opmerking:
    Uit 22. Portfolio Turnover Rate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tc={BF773089-6A80-4D88-B46A-4941C8ADCD1E}</author>
  </authors>
  <commentList>
    <comment ref="B6" authorId="0" shapeId="0" xr:uid="{BF773089-6A80-4D88-B46A-4941C8ADCD1E}">
      <text>
        <t>[Opmerkingenthread]
U kunt deze opmerkingenthread lezen in uw versie van Excel. Eventuele wijzigingen aan de thread gaan echter verloren als het bestand wordt geopend in een nieuwere versie van Excel. Meer informatie: https://go.microsoft.com/fwlink/?linkid=870924
Opmerking:
    Uit 22. Portfolio Turnover Rate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tc={4D1B1C4B-AE9C-4A11-936A-B15013E0FFB6}</author>
  </authors>
  <commentList>
    <comment ref="B6" authorId="0" shapeId="0" xr:uid="{4D1B1C4B-AE9C-4A11-936A-B15013E0FFB6}">
      <text>
        <t>[Opmerkingenthread]
U kunt deze opmerkingenthread lezen in uw versie van Excel. Eventuele wijzigingen aan de thread gaan echter verloren als het bestand wordt geopend in een nieuwere versie van Excel. Meer informatie: https://go.microsoft.com/fwlink/?linkid=870924
Opmerking:
    Uit 22. Portfolio Turnover Rate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tc={BD318717-9F6E-4FE6-947A-CC33FA9CC4E4}</author>
    <author>tc={05F2B683-9025-489A-BD44-3439A44FEE41}</author>
  </authors>
  <commentList>
    <comment ref="B5" authorId="0" shapeId="0" xr:uid="{BD318717-9F6E-4FE6-947A-CC33FA9CC4E4}">
      <text>
        <t>[Opmerkingenthread]
U kunt deze opmerkingenthread lezen in uw versie van Excel. Eventuele wijzigingen aan de thread gaan echter verloren als het bestand wordt geopend in een nieuwere versie van Excel. Meer informatie: https://go.microsoft.com/fwlink/?linkid=870924
Opmerking:
    "Net assets attributable to holders of redeemable participating
units" genomen uit "STATEMENT OF FINANCIAL POSITION"</t>
      </text>
    </comment>
    <comment ref="B11" authorId="1" shapeId="0" xr:uid="{05F2B683-9025-489A-BD44-3439A44FEE41}">
      <text>
        <t>[Opmerkingenthread]
U kunt deze opmerkingenthread lezen in uw versie van Excel. Eventuele wijzigingen aan de thread gaan echter verloren als het bestand wordt geopend in een nieuwere versie van Excel. Meer informatie: https://go.microsoft.com/fwlink/?linkid=870924
Opmerking:
    "Net assets attributable to holders of redeemable participating
units" genomen uit "STATEMENT OF FINANCIAL POSITION"</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Gerben</author>
  </authors>
  <commentList>
    <comment ref="L2" authorId="0" shapeId="0" xr:uid="{434CD842-3C43-4334-B2E1-FAF0941512B8}">
      <text>
        <r>
          <rPr>
            <b/>
            <sz val="9"/>
            <color indexed="81"/>
            <rFont val="Tahoma"/>
            <family val="2"/>
          </rPr>
          <t>Gerben:</t>
        </r>
        <r>
          <rPr>
            <sz val="9"/>
            <color indexed="81"/>
            <rFont val="Tahoma"/>
            <family val="2"/>
          </rPr>
          <t xml:space="preserve">
Tracking Difference</t>
        </r>
      </text>
    </comment>
    <comment ref="M2" authorId="0" shapeId="0" xr:uid="{EE1FF351-82F3-401D-BF5F-E210234F658F}">
      <text>
        <r>
          <rPr>
            <b/>
            <sz val="9"/>
            <color indexed="81"/>
            <rFont val="Tahoma"/>
            <family val="2"/>
          </rPr>
          <t>Gerben:</t>
        </r>
        <r>
          <rPr>
            <sz val="9"/>
            <color indexed="81"/>
            <rFont val="Tahoma"/>
            <family val="2"/>
          </rPr>
          <t xml:space="preserve">
Outperformance Netto Index</t>
        </r>
      </text>
    </comment>
    <comment ref="B4" authorId="0" shapeId="0" xr:uid="{D86328CD-638A-418E-A01A-FAE5B79F74B0}">
      <text>
        <r>
          <rPr>
            <b/>
            <sz val="9"/>
            <color indexed="81"/>
            <rFont val="Tahoma"/>
            <family val="2"/>
          </rPr>
          <t>Gerben:</t>
        </r>
        <r>
          <rPr>
            <sz val="9"/>
            <color indexed="81"/>
            <rFont val="Tahoma"/>
            <family val="2"/>
          </rPr>
          <t xml:space="preserve">
Zelf moeten opzoeken in: https://www.msci.com/end-of-day-data-search
</t>
        </r>
      </text>
    </comment>
    <comment ref="B13" authorId="0" shapeId="0" xr:uid="{491C301F-C58A-4556-8DFB-A3897F0CAD8E}">
      <text>
        <r>
          <rPr>
            <b/>
            <sz val="9"/>
            <color indexed="81"/>
            <rFont val="Tahoma"/>
            <family val="2"/>
          </rPr>
          <t>Gerben:</t>
        </r>
        <r>
          <rPr>
            <sz val="9"/>
            <color indexed="81"/>
            <rFont val="Tahoma"/>
            <family val="2"/>
          </rPr>
          <t xml:space="preserve">
Zelf moeten opzoeken in: https://www.msci.com/end-of-day-data-search
NT EM CUSTOM ESG INDEX heet hij daar
</t>
        </r>
      </text>
    </comment>
  </commentList>
</comments>
</file>

<file path=xl/sharedStrings.xml><?xml version="1.0" encoding="utf-8"?>
<sst xmlns="http://schemas.openxmlformats.org/spreadsheetml/2006/main" count="159" uniqueCount="103">
  <si>
    <t>Transaction costs and interest expenses are excluded from the calculation.</t>
  </si>
  <si>
    <t>Transaction costs</t>
  </si>
  <si>
    <t>Northern Trust Emerging Markets Custom ESG Equity Index UCITS FGR Fund €</t>
  </si>
  <si>
    <t>Northern Trust World Custom ESG Equity Index UCITS FGR Feeder Fund €</t>
  </si>
  <si>
    <t>TER</t>
  </si>
  <si>
    <t>management</t>
  </si>
  <si>
    <t>investment management and administration of the Sub-Funds</t>
  </si>
  <si>
    <t>plus other running costs, such as depositary, audit and regulatory fees.</t>
  </si>
  <si>
    <t>Average net asset value</t>
  </si>
  <si>
    <t>% transactie kosten</t>
  </si>
  <si>
    <t>Northern Trust World Small Cap ESG Low Carbon Index FGR Fund €</t>
  </si>
  <si>
    <t>Northern Trust World Custom ESG Equity Index Fund US $</t>
  </si>
  <si>
    <t>Northern Trust World Small Cap ESG Low Carbon Index Fund €</t>
  </si>
  <si>
    <t>Vermogen einde jaar</t>
  </si>
  <si>
    <t>Gemiddelde</t>
  </si>
  <si>
    <t>Doe de aanname wat in het jaarverslag onder "other expenses" staat dus in de TER/OCF zit</t>
  </si>
  <si>
    <t>% transactie kosten feeder</t>
  </si>
  <si>
    <t>% transactie kosten master</t>
  </si>
  <si>
    <t>Neem dus aan dat het deze is. Gek, bij small caps is er wel gewoon een euro master fonds</t>
  </si>
  <si>
    <t>Deze getallen komen uit de "NORTHERN TRUST UCITS COMMON CONTRACTUAL FUND" jaarverslagen</t>
  </si>
  <si>
    <t>Er is ook een euro fonds world maar die is hedged en heeft dat ook in de naam, dat matched dus niet.</t>
  </si>
  <si>
    <t>Schatting kosten toekomst</t>
  </si>
  <si>
    <t>Kosten gemiddeld</t>
  </si>
  <si>
    <t>09-2015 gestart. Feeder naar: Northern Trust World Custom ESG Equity Index Fund</t>
  </si>
  <si>
    <t>12-2015 gestart. Geen feeder</t>
  </si>
  <si>
    <t>06-2019 gestart. Feeder naar Northern Trust World Small Cap ESG Low Carbon Index Fund</t>
  </si>
  <si>
    <t>Bij de world feeder worden er namelijk bijna geen kosten gemeld</t>
  </si>
  <si>
    <t>Aannames</t>
  </si>
  <si>
    <t>Wat valt op</t>
  </si>
  <si>
    <t>% transactie kosten totaal</t>
  </si>
  <si>
    <t>Wel gek dat soms wel wat kosten bij de feeder worden gemeld</t>
  </si>
  <si>
    <t>Dat transactie en rentekosten van feeder en master fonds bij elkaar opgeteld moeten worden</t>
  </si>
  <si>
    <t>Geen securities lending inkomsten</t>
  </si>
  <si>
    <t xml:space="preserve">Jaarverslag: The OCF includes the cost of </t>
  </si>
  <si>
    <t>Aanname 100% dividend efficient. NT antwoord daar niet op aan mij.</t>
  </si>
  <si>
    <t>Via BND geeft NT aan dat het sluitend is voor hun EM en SmallCap fondsen. Sluitend in EM vind BND zelf ook wel wat raar</t>
  </si>
  <si>
    <t>Transaction costs are costs incurred to acquire or dispose of financial assets or liabilities at fair value
 through profit or loss. They include fees and commissions paid to agents, brokers and dealers.
 Transaction costs for the year are disclosed in the Statement of Comprehensive Income.</t>
  </si>
  <si>
    <t>Lijkt wel te kloppen als ik alle kosten ex transactie optel. Kom dan wel bij de TER in de buurt</t>
  </si>
  <si>
    <t>Rente kosten neem ik niet mee, meestal weinig. En ook weer rente inkomsten.</t>
  </si>
  <si>
    <t>Is natuurlijk niet, maar heb niks anders</t>
  </si>
  <si>
    <t>Enkel deze naam matched volledig met de doorverwijzing vanuit het feeder fonds, wel $ is wat raar</t>
  </si>
  <si>
    <t>Geen gemiddeld vermogen te vinden. Dus maar gemiddelde van stand begin en einde jaar. Aanname dat lineair oploopt.</t>
  </si>
  <si>
    <t>Meesman geeft aan dicht tegen de 100% belasting terug te krijgen, is ook NT</t>
  </si>
  <si>
    <t>In de start jaren vaak wat hogere transactiekosten</t>
  </si>
  <si>
    <t>Gok kosten toekomst</t>
  </si>
  <si>
    <t>Nog niet te geven vanwege transactiekosten en nu aan het opstarten is. Zal wat zakken tov nu, maar blijft wel small caps dus veel posities</t>
  </si>
  <si>
    <t>Bij iShares kan ik nog achteruit doordat de TER dagelijks in rekening wordt gebracht en er vermeld staat hoeveel er op jaarbasis</t>
  </si>
  <si>
    <t>in rekening is gebracht, bij NT is dat niet los te vinden, moet dan los gaan optellen wat er onder de TER valt van de kosten rekening</t>
  </si>
  <si>
    <t>zou preciezer zijn, maar de bedragen zijn zo laag dat het waarschijnlijk geen verschil maakt</t>
  </si>
  <si>
    <t>Operating costs</t>
  </si>
  <si>
    <t>Rente</t>
  </si>
  <si>
    <t>Allen maar 1x per jaar dividend uitkering, lopende dividenden worden wel meteen geinvesteerd?</t>
  </si>
  <si>
    <t>% OC</t>
  </si>
  <si>
    <t>% OC + Rente</t>
  </si>
  <si>
    <t>TD</t>
  </si>
  <si>
    <t>OPNI</t>
  </si>
  <si>
    <t>Northern trust World Custom ESG Equity</t>
  </si>
  <si>
    <t>MSCI custom ESG (EUR) gross</t>
  </si>
  <si>
    <t>MSCI custom ESG (EUR) net</t>
  </si>
  <si>
    <t>Vs gross</t>
  </si>
  <si>
    <t>Vs net</t>
  </si>
  <si>
    <t>NORTHERN TRUST EMERGING MARKETS CUSTOM ESG EQUITY</t>
  </si>
  <si>
    <t>Tracking difference</t>
  </si>
  <si>
    <t>De TER heeft veel gewisseld, world wordt duurder als er meer vermogen in zit. Raar</t>
  </si>
  <si>
    <t>Gat met kosten benadering</t>
  </si>
  <si>
    <t>Tussen de kosten benadering en tracking difference zit best een gat:</t>
  </si>
  <si>
    <t>Dividend herinvestering drag?</t>
  </si>
  <si>
    <t>Tax drag?</t>
  </si>
  <si>
    <t>TER en transactie</t>
  </si>
  <si>
    <t>Schatting tracking diff toekomst</t>
  </si>
  <si>
    <t>Alle kosten inc eventueel lek en drag</t>
  </si>
  <si>
    <t>TER wisselingen</t>
  </si>
  <si>
    <t>Tussen de kosten benadering en tracking difference zit een kleiner gat als bij world</t>
  </si>
  <si>
    <t>MSCI ACWI IMI</t>
  </si>
  <si>
    <t>MSCI World</t>
  </si>
  <si>
    <t>MSCI World SC</t>
  </si>
  <si>
    <t>MSCI Emerging</t>
  </si>
  <si>
    <t>EM small caps</t>
  </si>
  <si>
    <t>+</t>
  </si>
  <si>
    <t>cross check</t>
  </si>
  <si>
    <t>NT World</t>
  </si>
  <si>
    <t>NT Small</t>
  </si>
  <si>
    <t>NT Em</t>
  </si>
  <si>
    <t>Uitsluitingen</t>
  </si>
  <si>
    <t>Kosten</t>
  </si>
  <si>
    <t>2016-2019</t>
  </si>
  <si>
    <t>De in rekening gebrachte TER lijkt soms lager als wat er in rekening gebracht had moeten worden</t>
  </si>
  <si>
    <t>Toch nog wat dividend lekkage?</t>
  </si>
  <si>
    <t>Optimized selectie?</t>
  </si>
  <si>
    <t>Of in begin gewoon goedkoop geweest om vermogen aan te trekken?</t>
  </si>
  <si>
    <t>Of de average net asset value klopt niet</t>
  </si>
  <si>
    <t>De in rekening gebrachte TER lijkt soms anders als wat er in rekening gebracht had moeten worden</t>
  </si>
  <si>
    <t>todo</t>
  </si>
  <si>
    <t>2018-2019</t>
  </si>
  <si>
    <t>Op de 2017 factsheet adverteerde men wel met een 0.15% TER</t>
  </si>
  <si>
    <t>TD 2018-2019</t>
  </si>
  <si>
    <t>Huidige TER en transactiekosten</t>
  </si>
  <si>
    <t>2016-2019 Alle kosten inc niet goed volgen index om onduidelijke redenen</t>
  </si>
  <si>
    <t>2018-2019 Alle kosten inc niet goed volgen index om onduidelijke redenen</t>
  </si>
  <si>
    <t>Feeder master structuur met cash drag?</t>
  </si>
  <si>
    <t>Tracking Difference klopt niet door Swing pricing?</t>
  </si>
  <si>
    <t>Bruto netto index verschil</t>
  </si>
  <si>
    <t>gemiddeld bruto netto index verschil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</si>
</sst>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 &quot;€&quot;\ * #,##0.00_ ;_ &quot;€&quot;\ * \-#,##0.00_ ;_ &quot;€&quot;\ * &quot;-&quot;??_ ;_ @_ "/>
    <numFmt numFmtId="43" formatCode="_ * #,##0.00_ ;_ * \-#,##0.00_ ;_ * &quot;-&quot;??_ ;_ @_ "/>
    <numFmt numFmtId="164" formatCode="_ &quot;€&quot;\ * #,##0_ ;_ &quot;€&quot;\ * \-#,##0_ ;_ &quot;€&quot;\ * &quot;-&quot;??_ ;_ @_ "/>
    <numFmt numFmtId="165" formatCode="0.000%"/>
    <numFmt numFmtId="166" formatCode="0.0000%"/>
    <numFmt numFmtId="167" formatCode="0.0%"/>
    <numFmt numFmtId="168" formatCode="0.000"/>
  </numFmts>
  <fonts count="10"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sz val="11"/>
      <name val="Calibri"/>
      <family val="2"/>
      <scheme val="minor"/>
    </font>
    <font>
      <b/>
      <sz val="11"/>
      <name val="Calibri"/>
      <family val="2"/>
      <scheme val="minor"/>
    </font>
    <font>
      <b/>
      <sz val="9"/>
      <color indexed="81"/>
      <name val="Tahoma"/>
      <family val="2"/>
    </font>
    <font>
      <sz val="9"/>
      <color indexed="81"/>
      <name val="Tahoma"/>
      <family val="2"/>
    </font>
    <font>
      <sz val="11"/>
      <color rgb="FF000000"/>
      <name val="Calibri"/>
      <family val="2"/>
      <scheme val="minor"/>
    </font>
    <font>
      <b/>
      <sz val="11"/>
      <color rgb="FF000000"/>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9"/>
        <bgColor indexed="64"/>
      </patternFill>
    </fill>
  </fills>
  <borders count="2">
    <border>
      <left/>
      <right/>
      <top/>
      <bottom/>
      <diagonal/>
    </border>
    <border>
      <left/>
      <right/>
      <top style="double">
        <color auto="1"/>
      </top>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cellStyleXfs>
  <cellXfs count="41">
    <xf numFmtId="0" fontId="0" fillId="0" borderId="0" xfId="0"/>
    <xf numFmtId="0" fontId="2" fillId="0" borderId="0" xfId="0" applyFont="1"/>
    <xf numFmtId="0" fontId="0" fillId="0" borderId="0" xfId="0" applyFont="1"/>
    <xf numFmtId="164" fontId="0" fillId="0" borderId="0" xfId="0" applyNumberFormat="1"/>
    <xf numFmtId="10" fontId="0" fillId="0" borderId="0" xfId="1" applyNumberFormat="1" applyFont="1"/>
    <xf numFmtId="165" fontId="0" fillId="0" borderId="0" xfId="1" applyNumberFormat="1" applyFont="1"/>
    <xf numFmtId="165" fontId="0" fillId="0" borderId="0" xfId="0" applyNumberFormat="1"/>
    <xf numFmtId="10" fontId="0" fillId="0" borderId="0" xfId="0" applyNumberFormat="1"/>
    <xf numFmtId="166" fontId="0" fillId="0" borderId="0" xfId="1" applyNumberFormat="1" applyFont="1"/>
    <xf numFmtId="0" fontId="3" fillId="0" borderId="0" xfId="0" applyFont="1"/>
    <xf numFmtId="0" fontId="0" fillId="2" borderId="0" xfId="0" applyFont="1" applyFill="1"/>
    <xf numFmtId="0" fontId="2" fillId="2" borderId="0" xfId="0" applyFont="1" applyFill="1"/>
    <xf numFmtId="0" fontId="0" fillId="2" borderId="0" xfId="0" applyFill="1"/>
    <xf numFmtId="164" fontId="0" fillId="0" borderId="0" xfId="2" applyNumberFormat="1" applyFont="1"/>
    <xf numFmtId="165" fontId="3" fillId="0" borderId="0" xfId="0" applyNumberFormat="1" applyFont="1"/>
    <xf numFmtId="166" fontId="3" fillId="0" borderId="0" xfId="0" applyNumberFormat="1" applyFont="1"/>
    <xf numFmtId="0" fontId="0" fillId="0" borderId="0" xfId="0" applyAlignment="1">
      <alignment vertical="top" wrapText="1"/>
    </xf>
    <xf numFmtId="164" fontId="0" fillId="0" borderId="0" xfId="1" applyNumberFormat="1" applyFont="1"/>
    <xf numFmtId="0" fontId="4" fillId="0" borderId="0" xfId="0" applyFont="1"/>
    <xf numFmtId="0" fontId="5" fillId="0" borderId="0" xfId="0" applyFont="1" applyAlignment="1">
      <alignment horizontal="right"/>
    </xf>
    <xf numFmtId="0" fontId="5" fillId="0" borderId="0" xfId="0" applyFont="1"/>
    <xf numFmtId="2" fontId="4" fillId="0" borderId="0" xfId="0" applyNumberFormat="1" applyFont="1"/>
    <xf numFmtId="0" fontId="8" fillId="0" borderId="0" xfId="0" applyFont="1"/>
    <xf numFmtId="0" fontId="9" fillId="0" borderId="0" xfId="0" applyFont="1" applyAlignment="1">
      <alignment horizontal="right"/>
    </xf>
    <xf numFmtId="0" fontId="9" fillId="0" borderId="0" xfId="0" applyFont="1"/>
    <xf numFmtId="2" fontId="8" fillId="0" borderId="0" xfId="0" applyNumberFormat="1" applyFont="1"/>
    <xf numFmtId="167" fontId="0" fillId="0" borderId="0" xfId="1" applyNumberFormat="1" applyFont="1"/>
    <xf numFmtId="0" fontId="3" fillId="0" borderId="0" xfId="0" applyFont="1" applyAlignment="1"/>
    <xf numFmtId="0" fontId="0" fillId="0" borderId="1" xfId="0" applyBorder="1"/>
    <xf numFmtId="43" fontId="0" fillId="0" borderId="0" xfId="3" applyFont="1"/>
    <xf numFmtId="43" fontId="0" fillId="0" borderId="1" xfId="3" applyFont="1" applyBorder="1"/>
    <xf numFmtId="43" fontId="0" fillId="0" borderId="0" xfId="0" applyNumberFormat="1"/>
    <xf numFmtId="9" fontId="0" fillId="0" borderId="0" xfId="1" applyFont="1"/>
    <xf numFmtId="10" fontId="2" fillId="0" borderId="0" xfId="0" applyNumberFormat="1" applyFont="1"/>
    <xf numFmtId="10" fontId="0" fillId="0" borderId="0" xfId="0" applyNumberFormat="1" applyFont="1"/>
    <xf numFmtId="2" fontId="0" fillId="0" borderId="0" xfId="0" applyNumberFormat="1"/>
    <xf numFmtId="2" fontId="2" fillId="0" borderId="0" xfId="0" applyNumberFormat="1" applyFont="1"/>
    <xf numFmtId="2" fontId="8" fillId="3" borderId="0" xfId="0" applyNumberFormat="1" applyFont="1" applyFill="1"/>
    <xf numFmtId="2" fontId="0" fillId="3" borderId="0" xfId="0" applyNumberFormat="1" applyFill="1"/>
    <xf numFmtId="168" fontId="4" fillId="3" borderId="0" xfId="0" applyNumberFormat="1" applyFont="1" applyFill="1"/>
    <xf numFmtId="0" fontId="3" fillId="0" borderId="0" xfId="0" applyFont="1" applyAlignment="1">
      <alignment horizontal="left" vertical="top" wrapText="1"/>
    </xf>
  </cellXfs>
  <cellStyles count="4">
    <cellStyle name="Komma" xfId="3" builtinId="3"/>
    <cellStyle name="Procent" xfId="1" builtinId="5"/>
    <cellStyle name="Standaard" xfId="0" builtinId="0"/>
    <cellStyle name="Valuta" xfId="2" builtin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Gerben van Loon" id="{A4396B54-26D6-4DB8-90A1-70B73ABD3ACC}" userId="S::gerben@gerbenvanloonengineering.nl::afe8845f-8ac3-4ac0-a0e6-085833b5590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6" dT="2020-06-12T12:38:54.75" personId="{A4396B54-26D6-4DB8-90A1-70B73ABD3ACC}" id="{32D85BBB-ADB9-436B-A8F2-4522899AD645}">
    <text>Uit 22. Portfolio Turnover Rate</text>
  </threadedComment>
</ThreadedComments>
</file>

<file path=xl/threadedComments/threadedComment2.xml><?xml version="1.0" encoding="utf-8"?>
<ThreadedComments xmlns="http://schemas.microsoft.com/office/spreadsheetml/2018/threadedcomments" xmlns:x="http://schemas.openxmlformats.org/spreadsheetml/2006/main">
  <threadedComment ref="B6" dT="2020-06-12T12:38:54.75" personId="{A4396B54-26D6-4DB8-90A1-70B73ABD3ACC}" id="{BF773089-6A80-4D88-B46A-4941C8ADCD1E}">
    <text>Uit 22. Portfolio Turnover Rate</text>
  </threadedComment>
</ThreadedComments>
</file>

<file path=xl/threadedComments/threadedComment3.xml><?xml version="1.0" encoding="utf-8"?>
<ThreadedComments xmlns="http://schemas.microsoft.com/office/spreadsheetml/2018/threadedcomments" xmlns:x="http://schemas.openxmlformats.org/spreadsheetml/2006/main">
  <threadedComment ref="B6" dT="2020-06-12T12:38:54.75" personId="{A4396B54-26D6-4DB8-90A1-70B73ABD3ACC}" id="{4D1B1C4B-AE9C-4A11-936A-B15013E0FFB6}">
    <text>Uit 22. Portfolio Turnover Rate</text>
  </threadedComment>
</ThreadedComments>
</file>

<file path=xl/threadedComments/threadedComment4.xml><?xml version="1.0" encoding="utf-8"?>
<ThreadedComments xmlns="http://schemas.microsoft.com/office/spreadsheetml/2018/threadedcomments" xmlns:x="http://schemas.openxmlformats.org/spreadsheetml/2006/main">
  <threadedComment ref="B5" dT="2020-06-17T17:48:02.75" personId="{A4396B54-26D6-4DB8-90A1-70B73ABD3ACC}" id="{BD318717-9F6E-4FE6-947A-CC33FA9CC4E4}">
    <text>"Net assets attributable to holders of redeemable participating
units" genomen uit "STATEMENT OF FINANCIAL POSITION"</text>
  </threadedComment>
  <threadedComment ref="B11" dT="2020-06-17T17:48:02.75" personId="{A4396B54-26D6-4DB8-90A1-70B73ABD3ACC}" id="{05F2B683-9025-489A-BD44-3439A44FEE41}">
    <text>"Net assets attributable to holders of redeemable participating
units" genomen uit "STATEMENT OF FINANCIAL POSITION"</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 Id="rId4" Type="http://schemas.microsoft.com/office/2017/10/relationships/threadedComment" Target="../threadedComments/threadedComment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ECACD-21DA-4904-B85E-A64A90D22818}">
  <dimension ref="B2:B30"/>
  <sheetViews>
    <sheetView workbookViewId="0">
      <selection activeCell="B33" sqref="B33"/>
    </sheetView>
  </sheetViews>
  <sheetFormatPr defaultRowHeight="15" x14ac:dyDescent="0.25"/>
  <cols>
    <col min="2" max="2" width="114.28515625" customWidth="1"/>
  </cols>
  <sheetData>
    <row r="2" spans="2:2" x14ac:dyDescent="0.25">
      <c r="B2" s="1" t="s">
        <v>27</v>
      </c>
    </row>
    <row r="3" spans="2:2" x14ac:dyDescent="0.25">
      <c r="B3" s="9" t="s">
        <v>33</v>
      </c>
    </row>
    <row r="4" spans="2:2" x14ac:dyDescent="0.25">
      <c r="B4" s="9" t="s">
        <v>5</v>
      </c>
    </row>
    <row r="5" spans="2:2" x14ac:dyDescent="0.25">
      <c r="B5" s="9" t="s">
        <v>6</v>
      </c>
    </row>
    <row r="6" spans="2:2" x14ac:dyDescent="0.25">
      <c r="B6" s="27" t="s">
        <v>7</v>
      </c>
    </row>
    <row r="7" spans="2:2" x14ac:dyDescent="0.25">
      <c r="B7" s="27" t="s">
        <v>0</v>
      </c>
    </row>
    <row r="8" spans="2:2" x14ac:dyDescent="0.25">
      <c r="B8" s="9"/>
    </row>
    <row r="9" spans="2:2" x14ac:dyDescent="0.25">
      <c r="B9" s="40" t="s">
        <v>36</v>
      </c>
    </row>
    <row r="10" spans="2:2" x14ac:dyDescent="0.25">
      <c r="B10" s="40"/>
    </row>
    <row r="11" spans="2:2" x14ac:dyDescent="0.25">
      <c r="B11" s="40"/>
    </row>
    <row r="12" spans="2:2" x14ac:dyDescent="0.25">
      <c r="B12" s="16"/>
    </row>
    <row r="13" spans="2:2" x14ac:dyDescent="0.25">
      <c r="B13" s="2" t="s">
        <v>15</v>
      </c>
    </row>
    <row r="14" spans="2:2" x14ac:dyDescent="0.25">
      <c r="B14" s="2" t="s">
        <v>37</v>
      </c>
    </row>
    <row r="15" spans="2:2" x14ac:dyDescent="0.25">
      <c r="B15" s="2" t="s">
        <v>38</v>
      </c>
    </row>
    <row r="16" spans="2:2" x14ac:dyDescent="0.25">
      <c r="B16" s="2"/>
    </row>
    <row r="17" spans="2:2" x14ac:dyDescent="0.25">
      <c r="B17" s="2" t="s">
        <v>31</v>
      </c>
    </row>
    <row r="18" spans="2:2" x14ac:dyDescent="0.25">
      <c r="B18" s="2" t="s">
        <v>26</v>
      </c>
    </row>
    <row r="19" spans="2:2" x14ac:dyDescent="0.25">
      <c r="B19" s="2" t="s">
        <v>30</v>
      </c>
    </row>
    <row r="21" spans="2:2" x14ac:dyDescent="0.25">
      <c r="B21" s="2" t="s">
        <v>32</v>
      </c>
    </row>
    <row r="22" spans="2:2" x14ac:dyDescent="0.25">
      <c r="B22" s="2"/>
    </row>
    <row r="23" spans="2:2" x14ac:dyDescent="0.25">
      <c r="B23" s="2" t="s">
        <v>34</v>
      </c>
    </row>
    <row r="24" spans="2:2" x14ac:dyDescent="0.25">
      <c r="B24" s="2"/>
    </row>
    <row r="25" spans="2:2" x14ac:dyDescent="0.25">
      <c r="B25" s="2" t="s">
        <v>42</v>
      </c>
    </row>
    <row r="26" spans="2:2" x14ac:dyDescent="0.25">
      <c r="B26" s="2" t="s">
        <v>35</v>
      </c>
    </row>
    <row r="28" spans="2:2" x14ac:dyDescent="0.25">
      <c r="B28" s="2" t="s">
        <v>51</v>
      </c>
    </row>
    <row r="29" spans="2:2" x14ac:dyDescent="0.25">
      <c r="B29" s="2"/>
    </row>
    <row r="30" spans="2:2" x14ac:dyDescent="0.25">
      <c r="B30" s="2"/>
    </row>
  </sheetData>
  <mergeCells count="1">
    <mergeCell ref="B9:B11"/>
  </mergeCells>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6687D-2650-40D8-BB0F-4784280BA24F}">
  <dimension ref="B2:L16"/>
  <sheetViews>
    <sheetView workbookViewId="0">
      <selection activeCell="L8" sqref="L8"/>
    </sheetView>
  </sheetViews>
  <sheetFormatPr defaultRowHeight="15" x14ac:dyDescent="0.25"/>
  <cols>
    <col min="2" max="2" width="20.140625" customWidth="1"/>
    <col min="3" max="3" width="14" customWidth="1"/>
    <col min="6" max="6" width="11.140625" customWidth="1"/>
    <col min="7" max="7" width="15.42578125" customWidth="1"/>
    <col min="8" max="8" width="13.7109375" bestFit="1" customWidth="1"/>
  </cols>
  <sheetData>
    <row r="2" spans="2:12" x14ac:dyDescent="0.25">
      <c r="B2" t="s">
        <v>73</v>
      </c>
      <c r="C2" s="29">
        <v>53732257.130000003</v>
      </c>
    </row>
    <row r="3" spans="2:12" x14ac:dyDescent="0.25">
      <c r="C3" s="29"/>
    </row>
    <row r="4" spans="2:12" x14ac:dyDescent="0.25">
      <c r="C4" s="29"/>
      <c r="G4" t="s">
        <v>83</v>
      </c>
      <c r="K4" t="s">
        <v>84</v>
      </c>
    </row>
    <row r="5" spans="2:12" x14ac:dyDescent="0.25">
      <c r="B5" t="s">
        <v>74</v>
      </c>
      <c r="C5" s="29">
        <v>41819772.990000002</v>
      </c>
      <c r="F5" t="s">
        <v>80</v>
      </c>
      <c r="G5" s="7">
        <v>5.5E-2</v>
      </c>
      <c r="H5" s="31">
        <f>C5*(100%-G5)</f>
        <v>39519685.475550003</v>
      </c>
      <c r="I5" s="32">
        <f>H5/$H$8</f>
        <v>0.79995450026850634</v>
      </c>
      <c r="K5" s="4">
        <f>World!C27</f>
        <v>2.7994627477833768E-3</v>
      </c>
      <c r="L5" s="6">
        <f>I5*K5</f>
        <v>2.2394428234233507E-3</v>
      </c>
    </row>
    <row r="6" spans="2:12" x14ac:dyDescent="0.25">
      <c r="B6" t="s">
        <v>75</v>
      </c>
      <c r="C6" s="29">
        <v>5480574.1299999999</v>
      </c>
      <c r="F6" t="s">
        <v>81</v>
      </c>
      <c r="G6" s="7">
        <v>0.17699999999999999</v>
      </c>
      <c r="H6" s="31">
        <f>C6*(100%-G6)</f>
        <v>4510512.50899</v>
      </c>
      <c r="I6" s="32">
        <f t="shared" ref="I6:I7" si="0">H6/$H$8</f>
        <v>9.1301454874084517E-2</v>
      </c>
      <c r="K6" s="4">
        <f>Emerging!C20</f>
        <v>3.2179250940653479E-3</v>
      </c>
      <c r="L6" s="6">
        <f t="shared" ref="L6:L7" si="1">I6*K6</f>
        <v>2.9380124276399153E-4</v>
      </c>
    </row>
    <row r="7" spans="2:12" x14ac:dyDescent="0.25">
      <c r="B7" t="s">
        <v>76</v>
      </c>
      <c r="C7" s="29">
        <v>5789028.6699999999</v>
      </c>
      <c r="F7" t="s">
        <v>82</v>
      </c>
      <c r="G7" s="7">
        <v>7.1999999999999995E-2</v>
      </c>
      <c r="H7" s="31">
        <f>C7*(100%-G7)</f>
        <v>5372218.6057600006</v>
      </c>
      <c r="I7" s="32">
        <f t="shared" si="0"/>
        <v>0.10874404485740921</v>
      </c>
      <c r="K7" s="4">
        <f>SmallCaps!C20</f>
        <v>3.9817641220565667E-3</v>
      </c>
      <c r="L7" s="6">
        <f t="shared" si="1"/>
        <v>4.3299313630054188E-4</v>
      </c>
    </row>
    <row r="8" spans="2:12" ht="15.75" thickBot="1" x14ac:dyDescent="0.3">
      <c r="B8" t="s">
        <v>77</v>
      </c>
      <c r="C8" s="29">
        <v>642881.34999999963</v>
      </c>
      <c r="D8" t="s">
        <v>78</v>
      </c>
      <c r="H8" s="31">
        <f>SUM(H5:H7)</f>
        <v>49402416.590300001</v>
      </c>
      <c r="L8" s="6">
        <f>SUM(L5:L7)</f>
        <v>2.9662372024878841E-3</v>
      </c>
    </row>
    <row r="9" spans="2:12" ht="15.75" thickTop="1" x14ac:dyDescent="0.25">
      <c r="B9" s="28" t="s">
        <v>79</v>
      </c>
      <c r="C9" s="30">
        <f>SUM(C5:C8)</f>
        <v>53732257.140000008</v>
      </c>
      <c r="H9" s="26">
        <f>SUM(H5:H7)/C2</f>
        <v>0.91941822713264454</v>
      </c>
    </row>
    <row r="11" spans="2:12" x14ac:dyDescent="0.25">
      <c r="G11" t="s">
        <v>83</v>
      </c>
    </row>
    <row r="12" spans="2:12" x14ac:dyDescent="0.25">
      <c r="F12" t="s">
        <v>80</v>
      </c>
      <c r="G12" s="7">
        <v>5.5E-2</v>
      </c>
      <c r="H12" s="31">
        <f>C5*(100%-G12)</f>
        <v>39519685.475550003</v>
      </c>
    </row>
    <row r="13" spans="2:12" x14ac:dyDescent="0.25">
      <c r="F13" t="s">
        <v>82</v>
      </c>
      <c r="G13" s="7">
        <v>7.1999999999999995E-2</v>
      </c>
      <c r="H13" s="31">
        <f>C7*(100%-G13)</f>
        <v>5372218.6057600006</v>
      </c>
    </row>
    <row r="16" spans="2:12" x14ac:dyDescent="0.25">
      <c r="H16" s="26">
        <f>SUM(H12:H13)/C2</f>
        <v>0.83547400535768268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J28"/>
  <sheetViews>
    <sheetView tabSelected="1" zoomScaleNormal="100" workbookViewId="0">
      <selection activeCell="J19" sqref="J19"/>
    </sheetView>
  </sheetViews>
  <sheetFormatPr defaultRowHeight="15" x14ac:dyDescent="0.25"/>
  <cols>
    <col min="2" max="2" width="32.28515625" customWidth="1"/>
    <col min="3" max="6" width="17.7109375" customWidth="1"/>
    <col min="7" max="7" width="6.140625" customWidth="1"/>
    <col min="8" max="8" width="13.28515625" customWidth="1"/>
    <col min="9" max="9" width="18" customWidth="1"/>
    <col min="10" max="10" width="91.85546875" customWidth="1"/>
  </cols>
  <sheetData>
    <row r="2" spans="2:10" x14ac:dyDescent="0.25">
      <c r="B2" s="11" t="s">
        <v>3</v>
      </c>
      <c r="C2" s="10"/>
      <c r="D2" s="10"/>
      <c r="E2" s="10"/>
      <c r="F2" s="10"/>
      <c r="G2" s="10"/>
      <c r="H2" s="10"/>
      <c r="J2" s="1" t="s">
        <v>28</v>
      </c>
    </row>
    <row r="3" spans="2:10" x14ac:dyDescent="0.25">
      <c r="B3" t="s">
        <v>23</v>
      </c>
      <c r="J3" t="s">
        <v>63</v>
      </c>
    </row>
    <row r="4" spans="2:10" x14ac:dyDescent="0.25">
      <c r="C4" s="1">
        <v>2016</v>
      </c>
      <c r="D4" s="1">
        <v>2017</v>
      </c>
      <c r="E4" s="1">
        <v>2018</v>
      </c>
      <c r="F4" s="1">
        <v>2019</v>
      </c>
      <c r="G4" s="1"/>
      <c r="H4" s="1" t="s">
        <v>14</v>
      </c>
      <c r="J4" t="s">
        <v>89</v>
      </c>
    </row>
    <row r="5" spans="2:10" x14ac:dyDescent="0.25">
      <c r="B5" s="2" t="s">
        <v>1</v>
      </c>
      <c r="C5" s="13">
        <v>0</v>
      </c>
      <c r="D5" s="13">
        <v>0</v>
      </c>
      <c r="E5" s="13">
        <v>0</v>
      </c>
      <c r="F5" s="13">
        <v>22294</v>
      </c>
      <c r="G5" s="3"/>
      <c r="J5" t="s">
        <v>94</v>
      </c>
    </row>
    <row r="6" spans="2:10" x14ac:dyDescent="0.25">
      <c r="B6" s="2" t="s">
        <v>8</v>
      </c>
      <c r="C6" s="13">
        <v>607319449</v>
      </c>
      <c r="D6" s="13">
        <v>1151302913</v>
      </c>
      <c r="E6" s="13">
        <v>1781058053</v>
      </c>
      <c r="F6" s="13">
        <v>2673847808</v>
      </c>
      <c r="G6" s="3"/>
    </row>
    <row r="7" spans="2:10" x14ac:dyDescent="0.25">
      <c r="B7" s="2" t="s">
        <v>16</v>
      </c>
      <c r="C7" s="5">
        <f>C5/C6</f>
        <v>0</v>
      </c>
      <c r="D7" s="5">
        <f t="shared" ref="D7:F7" si="0">D5/D6</f>
        <v>0</v>
      </c>
      <c r="E7" s="5">
        <f t="shared" si="0"/>
        <v>0</v>
      </c>
      <c r="F7" s="5">
        <f t="shared" si="0"/>
        <v>8.3377969132340379E-6</v>
      </c>
      <c r="G7" s="5"/>
      <c r="H7" s="6"/>
      <c r="I7" s="4"/>
      <c r="J7" t="s">
        <v>43</v>
      </c>
    </row>
    <row r="8" spans="2:10" ht="15" customHeight="1" x14ac:dyDescent="0.25">
      <c r="B8" s="2" t="s">
        <v>17</v>
      </c>
      <c r="C8" s="5">
        <f>'Northern Trust Master fondsen'!D6</f>
        <v>1.3528648432442348E-4</v>
      </c>
      <c r="D8" s="5">
        <f>'Northern Trust Master fondsen'!E6</f>
        <v>4.4782844092559127E-5</v>
      </c>
      <c r="E8" s="5">
        <f>'Northern Trust Master fondsen'!F6</f>
        <v>4.2300110328596436E-5</v>
      </c>
      <c r="F8" s="5">
        <f>'Northern Trust Master fondsen'!G6</f>
        <v>4.6130035609743487E-5</v>
      </c>
      <c r="G8" s="5"/>
      <c r="H8" s="6"/>
    </row>
    <row r="9" spans="2:10" ht="15" customHeight="1" x14ac:dyDescent="0.25">
      <c r="B9" s="2" t="s">
        <v>29</v>
      </c>
      <c r="C9" s="5">
        <f>SUM(C7:C8)</f>
        <v>1.3528648432442348E-4</v>
      </c>
      <c r="D9" s="5">
        <f t="shared" ref="D9:F9" si="1">SUM(D7:D8)</f>
        <v>4.4782844092559127E-5</v>
      </c>
      <c r="E9" s="5">
        <f t="shared" si="1"/>
        <v>4.2300110328596436E-5</v>
      </c>
      <c r="F9" s="5">
        <f t="shared" si="1"/>
        <v>5.4467832522977523E-5</v>
      </c>
      <c r="G9" s="5"/>
      <c r="H9" s="7">
        <f>AVERAGE(C9:G9)</f>
        <v>6.920931781713915E-5</v>
      </c>
      <c r="J9" t="s">
        <v>86</v>
      </c>
    </row>
    <row r="10" spans="2:10" x14ac:dyDescent="0.25">
      <c r="B10" s="2" t="s">
        <v>4</v>
      </c>
      <c r="C10" s="4">
        <v>2.9999999999999997E-4</v>
      </c>
      <c r="D10" s="4">
        <v>2.9999999999999997E-4</v>
      </c>
      <c r="E10" s="4">
        <v>1.1999999999999999E-3</v>
      </c>
      <c r="F10" s="4">
        <v>1.5E-3</v>
      </c>
      <c r="G10" s="5"/>
      <c r="H10" s="7">
        <f t="shared" ref="H10" si="2">AVERAGE(C10:F10)</f>
        <v>8.25E-4</v>
      </c>
      <c r="J10" t="s">
        <v>90</v>
      </c>
    </row>
    <row r="11" spans="2:10" x14ac:dyDescent="0.25">
      <c r="B11" s="2"/>
      <c r="C11" s="4"/>
      <c r="D11" s="4"/>
      <c r="E11" s="4"/>
      <c r="F11" s="4"/>
      <c r="G11" s="5"/>
      <c r="H11" s="7"/>
    </row>
    <row r="12" spans="2:10" x14ac:dyDescent="0.25">
      <c r="B12" s="2" t="s">
        <v>49</v>
      </c>
      <c r="C12" s="17">
        <v>72708</v>
      </c>
      <c r="D12" s="17">
        <v>323257</v>
      </c>
      <c r="E12" s="17">
        <v>2280765</v>
      </c>
      <c r="F12" s="17">
        <v>3265001</v>
      </c>
      <c r="G12" s="5"/>
      <c r="H12" s="7"/>
      <c r="J12" s="1" t="s">
        <v>65</v>
      </c>
    </row>
    <row r="13" spans="2:10" x14ac:dyDescent="0.25">
      <c r="B13" s="2" t="s">
        <v>50</v>
      </c>
      <c r="C13" s="17">
        <v>1794</v>
      </c>
      <c r="D13" s="17">
        <v>4996</v>
      </c>
      <c r="E13" s="17">
        <v>7109</v>
      </c>
      <c r="F13" s="17">
        <v>31761</v>
      </c>
      <c r="G13" s="5"/>
      <c r="H13" s="7"/>
      <c r="J13" t="s">
        <v>66</v>
      </c>
    </row>
    <row r="14" spans="2:10" x14ac:dyDescent="0.25">
      <c r="B14" s="2" t="s">
        <v>52</v>
      </c>
      <c r="C14" s="4">
        <f>C12/C6</f>
        <v>1.1971953165623055E-4</v>
      </c>
      <c r="D14" s="4">
        <f t="shared" ref="D14:F14" si="3">D12/D6</f>
        <v>2.8077493451108816E-4</v>
      </c>
      <c r="E14" s="4">
        <f t="shared" si="3"/>
        <v>1.2805674672750266E-3</v>
      </c>
      <c r="F14" s="4">
        <f t="shared" si="3"/>
        <v>1.2210870754241522E-3</v>
      </c>
      <c r="G14" s="5"/>
      <c r="H14" s="7">
        <f>AVERAGE(C14:F14)</f>
        <v>7.2553725221662438E-4</v>
      </c>
      <c r="J14" t="s">
        <v>67</v>
      </c>
    </row>
    <row r="15" spans="2:10" ht="15" customHeight="1" x14ac:dyDescent="0.25">
      <c r="B15" s="2" t="s">
        <v>53</v>
      </c>
      <c r="C15" s="4">
        <f>(C12+C13)/C6</f>
        <v>1.2267349600391276E-4</v>
      </c>
      <c r="D15" s="4">
        <f t="shared" ref="D15:F15" si="4">(D12+D13)/D6</f>
        <v>2.8511436590102676E-4</v>
      </c>
      <c r="E15" s="4">
        <f t="shared" si="4"/>
        <v>1.2845589149361658E-3</v>
      </c>
      <c r="F15" s="4">
        <f t="shared" si="4"/>
        <v>1.2329654627822408E-3</v>
      </c>
      <c r="G15" s="5"/>
      <c r="H15" s="7">
        <f>AVERAGE(C15:F15)</f>
        <v>7.3132805990583653E-4</v>
      </c>
      <c r="J15" t="s">
        <v>87</v>
      </c>
    </row>
    <row r="16" spans="2:10" ht="15" customHeight="1" x14ac:dyDescent="0.25">
      <c r="B16" s="2"/>
      <c r="D16" s="5"/>
      <c r="E16" s="5"/>
      <c r="F16" s="5"/>
      <c r="G16" s="5"/>
      <c r="H16" s="6"/>
      <c r="J16" t="s">
        <v>88</v>
      </c>
    </row>
    <row r="17" spans="2:10" x14ac:dyDescent="0.25">
      <c r="B17" s="2" t="s">
        <v>22</v>
      </c>
      <c r="C17" s="7">
        <f>H9+H14</f>
        <v>7.947465700337635E-4</v>
      </c>
      <c r="D17" s="5" t="s">
        <v>85</v>
      </c>
      <c r="E17" s="5"/>
      <c r="F17" s="5"/>
      <c r="G17" s="5"/>
      <c r="H17" s="6"/>
      <c r="J17" t="s">
        <v>100</v>
      </c>
    </row>
    <row r="18" spans="2:10" x14ac:dyDescent="0.25">
      <c r="B18" s="2" t="s">
        <v>62</v>
      </c>
      <c r="C18" s="4">
        <f>'Tracking Difference'!L6/100</f>
        <v>2.0250000000000012E-3</v>
      </c>
      <c r="D18" s="5" t="s">
        <v>85</v>
      </c>
      <c r="E18" s="5"/>
      <c r="F18" s="5"/>
      <c r="G18" s="5"/>
      <c r="H18" s="6"/>
      <c r="J18" t="s">
        <v>99</v>
      </c>
    </row>
    <row r="19" spans="2:10" x14ac:dyDescent="0.25">
      <c r="B19" s="2" t="s">
        <v>64</v>
      </c>
      <c r="C19" s="4">
        <f>C18-C17</f>
        <v>1.2302534299662377E-3</v>
      </c>
      <c r="D19" s="5" t="s">
        <v>85</v>
      </c>
      <c r="E19" s="5"/>
      <c r="F19" s="5"/>
      <c r="G19" s="5"/>
      <c r="H19" s="6"/>
    </row>
    <row r="20" spans="2:10" x14ac:dyDescent="0.25">
      <c r="B20" s="2"/>
      <c r="C20" s="4"/>
      <c r="D20" s="5"/>
      <c r="E20" s="5"/>
      <c r="F20" s="5"/>
      <c r="G20" s="5"/>
      <c r="H20" s="6"/>
    </row>
    <row r="21" spans="2:10" x14ac:dyDescent="0.25">
      <c r="B21" s="2" t="s">
        <v>22</v>
      </c>
      <c r="C21" s="7">
        <f>AVERAGE(E14:F14)+AVERAGE(E9:F9)</f>
        <v>1.2992112427753764E-3</v>
      </c>
      <c r="D21" s="5" t="s">
        <v>93</v>
      </c>
      <c r="E21" s="5"/>
      <c r="F21" s="5"/>
      <c r="G21" s="5"/>
      <c r="H21" s="6"/>
    </row>
    <row r="22" spans="2:10" x14ac:dyDescent="0.25">
      <c r="B22" s="2" t="s">
        <v>62</v>
      </c>
      <c r="C22" s="4">
        <f>'Tracking Difference'!O6/100</f>
        <v>2.1000000000000085E-3</v>
      </c>
      <c r="D22" s="5" t="s">
        <v>93</v>
      </c>
      <c r="E22" s="5"/>
      <c r="F22" s="5"/>
      <c r="G22" s="5"/>
      <c r="H22" s="6"/>
    </row>
    <row r="23" spans="2:10" x14ac:dyDescent="0.25">
      <c r="B23" s="2" t="s">
        <v>64</v>
      </c>
      <c r="C23" s="4">
        <f>C22-C21</f>
        <v>8.0078875722463215E-4</v>
      </c>
      <c r="D23" s="5" t="s">
        <v>93</v>
      </c>
      <c r="E23" s="5"/>
      <c r="F23" s="5"/>
      <c r="G23" s="5"/>
      <c r="H23" s="6"/>
    </row>
    <row r="24" spans="2:10" x14ac:dyDescent="0.25">
      <c r="B24" s="2"/>
      <c r="C24" s="4"/>
      <c r="D24" s="5"/>
      <c r="E24" s="5"/>
      <c r="F24" s="5"/>
      <c r="G24" s="5"/>
      <c r="H24" s="6"/>
    </row>
    <row r="25" spans="2:10" x14ac:dyDescent="0.25">
      <c r="B25" s="1" t="s">
        <v>21</v>
      </c>
      <c r="C25" s="33">
        <f>F10+H9</f>
        <v>1.5692093178171392E-3</v>
      </c>
      <c r="D25" s="5" t="s">
        <v>96</v>
      </c>
      <c r="E25" s="5"/>
      <c r="F25" s="5"/>
      <c r="G25" s="5"/>
      <c r="H25" s="6"/>
      <c r="I25" s="6"/>
    </row>
    <row r="27" spans="2:10" x14ac:dyDescent="0.25">
      <c r="B27" s="1" t="s">
        <v>69</v>
      </c>
      <c r="C27" s="33">
        <f>C25+C19</f>
        <v>2.7994627477833768E-3</v>
      </c>
      <c r="D27" t="s">
        <v>97</v>
      </c>
    </row>
    <row r="28" spans="2:10" x14ac:dyDescent="0.25">
      <c r="B28" s="1" t="s">
        <v>69</v>
      </c>
      <c r="C28" s="33">
        <f>C25+C23</f>
        <v>2.3699980750417713E-3</v>
      </c>
      <c r="D28" t="s">
        <v>98</v>
      </c>
    </row>
  </sheetData>
  <pageMargins left="0.7" right="0.7" top="0.75" bottom="0.75" header="0.3" footer="0.3"/>
  <pageSetup orientation="portrait" horizontalDpi="0" verticalDpi="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B4C98-CE28-4015-A5EF-F840D4E9DB1C}">
  <dimension ref="B2:J20"/>
  <sheetViews>
    <sheetView zoomScaleNormal="100" workbookViewId="0">
      <selection activeCell="D16" sqref="D16"/>
    </sheetView>
  </sheetViews>
  <sheetFormatPr defaultRowHeight="15" x14ac:dyDescent="0.25"/>
  <cols>
    <col min="2" max="2" width="33.28515625" customWidth="1"/>
    <col min="3" max="6" width="17.7109375" customWidth="1"/>
    <col min="7" max="7" width="6.140625" customWidth="1"/>
    <col min="8" max="8" width="13.28515625" customWidth="1"/>
    <col min="9" max="9" width="18" customWidth="1"/>
    <col min="10" max="10" width="91.85546875" customWidth="1"/>
  </cols>
  <sheetData>
    <row r="2" spans="2:10" x14ac:dyDescent="0.25">
      <c r="B2" s="11" t="s">
        <v>2</v>
      </c>
      <c r="C2" s="10"/>
      <c r="D2" s="10"/>
      <c r="E2" s="10"/>
      <c r="F2" s="10"/>
      <c r="G2" s="10"/>
      <c r="H2" s="10"/>
      <c r="J2" s="1" t="s">
        <v>28</v>
      </c>
    </row>
    <row r="3" spans="2:10" x14ac:dyDescent="0.25">
      <c r="B3" s="2" t="s">
        <v>24</v>
      </c>
      <c r="J3" t="s">
        <v>71</v>
      </c>
    </row>
    <row r="4" spans="2:10" x14ac:dyDescent="0.25">
      <c r="B4" s="2"/>
      <c r="C4" s="1">
        <v>2016</v>
      </c>
      <c r="D4" s="1">
        <v>2017</v>
      </c>
      <c r="E4" s="1">
        <v>2018</v>
      </c>
      <c r="F4" s="1">
        <v>2019</v>
      </c>
      <c r="G4" s="1"/>
      <c r="H4" s="1" t="s">
        <v>14</v>
      </c>
      <c r="J4" t="s">
        <v>43</v>
      </c>
    </row>
    <row r="5" spans="2:10" x14ac:dyDescent="0.25">
      <c r="B5" s="2" t="s">
        <v>1</v>
      </c>
      <c r="C5" s="3">
        <v>48346</v>
      </c>
      <c r="D5" s="3">
        <v>276690</v>
      </c>
      <c r="E5" s="3">
        <v>234574</v>
      </c>
      <c r="F5" s="3">
        <v>672683</v>
      </c>
      <c r="G5" s="3"/>
    </row>
    <row r="6" spans="2:10" x14ac:dyDescent="0.25">
      <c r="B6" s="2" t="s">
        <v>8</v>
      </c>
      <c r="C6" s="3">
        <v>41072828</v>
      </c>
      <c r="D6" s="3">
        <v>280855994</v>
      </c>
      <c r="E6" s="3">
        <v>798617793</v>
      </c>
      <c r="F6" s="3">
        <v>1521930963</v>
      </c>
      <c r="G6" s="3"/>
      <c r="J6" t="s">
        <v>91</v>
      </c>
    </row>
    <row r="7" spans="2:10" x14ac:dyDescent="0.25">
      <c r="B7" s="2" t="s">
        <v>9</v>
      </c>
      <c r="C7" s="4">
        <f>C5/C6</f>
        <v>1.177079893305618E-3</v>
      </c>
      <c r="D7" s="4">
        <f t="shared" ref="D7:F7" si="0">D5/D6</f>
        <v>9.8516679690304203E-4</v>
      </c>
      <c r="E7" s="4">
        <f t="shared" si="0"/>
        <v>2.9372498591450741E-4</v>
      </c>
      <c r="F7" s="4">
        <f t="shared" si="0"/>
        <v>4.4199311030115364E-4</v>
      </c>
      <c r="G7" s="5"/>
      <c r="H7" s="7">
        <f>AVERAGE(C7:F7)</f>
        <v>7.2449119660608022E-4</v>
      </c>
      <c r="I7" s="4"/>
    </row>
    <row r="8" spans="2:10" ht="15" customHeight="1" x14ac:dyDescent="0.25">
      <c r="B8" s="2" t="s">
        <v>4</v>
      </c>
      <c r="C8" s="7">
        <v>2.8E-3</v>
      </c>
      <c r="D8" s="7">
        <v>2E-3</v>
      </c>
      <c r="E8" s="7">
        <v>2.5000000000000001E-3</v>
      </c>
      <c r="F8" s="7">
        <v>2.5000000000000001E-3</v>
      </c>
      <c r="G8" s="3"/>
      <c r="H8" s="7">
        <f>AVERAGE(C8:F8)</f>
        <v>2.4500000000000004E-3</v>
      </c>
      <c r="J8" t="s">
        <v>72</v>
      </c>
    </row>
    <row r="9" spans="2:10" ht="15" customHeight="1" x14ac:dyDescent="0.25">
      <c r="B9" s="2"/>
      <c r="C9" s="7"/>
      <c r="D9" s="7"/>
      <c r="E9" s="7"/>
      <c r="F9" s="7"/>
      <c r="G9" s="3"/>
      <c r="H9" s="7"/>
    </row>
    <row r="10" spans="2:10" x14ac:dyDescent="0.25">
      <c r="B10" s="2" t="s">
        <v>49</v>
      </c>
      <c r="C10" s="3">
        <v>51166</v>
      </c>
      <c r="D10" s="3">
        <v>842623</v>
      </c>
      <c r="E10" s="3">
        <v>2541872</v>
      </c>
      <c r="F10" s="3">
        <v>4524697</v>
      </c>
      <c r="G10" s="3"/>
      <c r="H10" s="7"/>
    </row>
    <row r="11" spans="2:10" x14ac:dyDescent="0.25">
      <c r="B11" s="2" t="s">
        <v>50</v>
      </c>
      <c r="C11" s="3">
        <v>885</v>
      </c>
      <c r="D11" s="3">
        <v>35778</v>
      </c>
      <c r="E11" s="3">
        <v>15306</v>
      </c>
      <c r="F11" s="3">
        <v>11676</v>
      </c>
      <c r="G11" s="3"/>
      <c r="H11" s="7"/>
    </row>
    <row r="12" spans="2:10" x14ac:dyDescent="0.25">
      <c r="B12" s="2" t="s">
        <v>52</v>
      </c>
      <c r="C12" s="4">
        <f>C10/C6</f>
        <v>1.2457384234657522E-3</v>
      </c>
      <c r="D12" s="4">
        <f>D10/D6</f>
        <v>3.0001958939854423E-3</v>
      </c>
      <c r="E12" s="4">
        <f t="shared" ref="E12:F12" si="1">E10/E6</f>
        <v>3.1828391782400471E-3</v>
      </c>
      <c r="F12" s="4">
        <f t="shared" si="1"/>
        <v>2.9729975340543747E-3</v>
      </c>
      <c r="G12" s="3"/>
      <c r="H12" s="7">
        <f>AVERAGE(C12:F12)</f>
        <v>2.6004427574364041E-3</v>
      </c>
    </row>
    <row r="13" spans="2:10" x14ac:dyDescent="0.25">
      <c r="B13" s="2" t="s">
        <v>53</v>
      </c>
      <c r="C13" s="4">
        <f>(C10+C11)/C6</f>
        <v>1.267285515377709E-3</v>
      </c>
      <c r="D13" s="4">
        <f t="shared" ref="D13:F13" si="2">(D10+D11)/D6</f>
        <v>3.1275850213828798E-3</v>
      </c>
      <c r="E13" s="4">
        <f t="shared" si="2"/>
        <v>3.2020047917965685E-3</v>
      </c>
      <c r="F13" s="4">
        <f t="shared" si="2"/>
        <v>2.9806693669323816E-3</v>
      </c>
      <c r="G13" s="3"/>
      <c r="H13" s="7">
        <f>AVERAGE(C13:F13)</f>
        <v>2.6443861738723847E-3</v>
      </c>
    </row>
    <row r="14" spans="2:10" x14ac:dyDescent="0.25">
      <c r="B14" s="2"/>
      <c r="C14" s="7"/>
      <c r="D14" s="7"/>
      <c r="E14" s="7"/>
      <c r="F14" s="7"/>
      <c r="G14" s="3"/>
      <c r="H14" s="6"/>
    </row>
    <row r="15" spans="2:10" ht="15" customHeight="1" x14ac:dyDescent="0.25">
      <c r="B15" s="2" t="s">
        <v>22</v>
      </c>
      <c r="C15" s="34">
        <f>H7+H12</f>
        <v>3.3249339540424843E-3</v>
      </c>
      <c r="D15" t="s">
        <v>85</v>
      </c>
    </row>
    <row r="16" spans="2:10" ht="15" customHeight="1" x14ac:dyDescent="0.25">
      <c r="B16" s="2" t="s">
        <v>62</v>
      </c>
      <c r="C16" s="34">
        <f>'Tracking Difference'!L15/100</f>
        <v>3.6750000000000016E-3</v>
      </c>
      <c r="D16" t="s">
        <v>85</v>
      </c>
    </row>
    <row r="17" spans="2:8" ht="15" customHeight="1" x14ac:dyDescent="0.25">
      <c r="B17" s="2" t="s">
        <v>64</v>
      </c>
      <c r="C17" s="34">
        <f>C16-C15</f>
        <v>3.5006604595751731E-4</v>
      </c>
      <c r="D17" s="5"/>
    </row>
    <row r="18" spans="2:8" ht="15" customHeight="1" x14ac:dyDescent="0.25">
      <c r="B18" s="2"/>
      <c r="C18" s="34"/>
    </row>
    <row r="19" spans="2:8" ht="15" customHeight="1" x14ac:dyDescent="0.25">
      <c r="B19" s="1" t="s">
        <v>21</v>
      </c>
      <c r="C19" s="33">
        <f>F8+AVERAGE(E7:F7)</f>
        <v>2.8678590481078306E-3</v>
      </c>
      <c r="D19" s="5" t="s">
        <v>68</v>
      </c>
    </row>
    <row r="20" spans="2:8" x14ac:dyDescent="0.25">
      <c r="B20" s="1" t="s">
        <v>69</v>
      </c>
      <c r="C20" s="33">
        <f>C19+C17</f>
        <v>3.2179250940653479E-3</v>
      </c>
      <c r="D20" t="s">
        <v>70</v>
      </c>
      <c r="E20" s="5"/>
      <c r="F20" s="5"/>
      <c r="G20" s="5"/>
      <c r="H20" s="6"/>
    </row>
  </sheetData>
  <pageMargins left="0.7" right="0.7" top="0.75" bottom="0.75" header="0.3" footer="0.3"/>
  <pageSetup orientation="portrait" horizontalDpi="0" verticalDpi="0"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3B064-D487-424B-955E-970CD2CDF897}">
  <dimension ref="B2:J21"/>
  <sheetViews>
    <sheetView zoomScaleNormal="100" workbookViewId="0">
      <selection activeCell="J5" sqref="J5"/>
    </sheetView>
  </sheetViews>
  <sheetFormatPr defaultRowHeight="15" x14ac:dyDescent="0.25"/>
  <cols>
    <col min="2" max="2" width="26.42578125" customWidth="1"/>
    <col min="3" max="6" width="17.7109375" customWidth="1"/>
    <col min="7" max="7" width="6.140625" customWidth="1"/>
    <col min="8" max="8" width="13.28515625" customWidth="1"/>
    <col min="9" max="9" width="18" customWidth="1"/>
    <col min="10" max="10" width="91.85546875" customWidth="1"/>
  </cols>
  <sheetData>
    <row r="2" spans="2:10" x14ac:dyDescent="0.25">
      <c r="B2" s="11" t="s">
        <v>10</v>
      </c>
      <c r="C2" s="10"/>
      <c r="D2" s="10"/>
      <c r="E2" s="10"/>
      <c r="F2" s="10"/>
      <c r="G2" s="10"/>
      <c r="H2" s="10"/>
      <c r="J2" s="1" t="s">
        <v>28</v>
      </c>
    </row>
    <row r="3" spans="2:10" x14ac:dyDescent="0.25">
      <c r="B3" t="s">
        <v>25</v>
      </c>
    </row>
    <row r="4" spans="2:10" x14ac:dyDescent="0.25">
      <c r="C4" s="1">
        <v>2016</v>
      </c>
      <c r="D4" s="1">
        <v>2017</v>
      </c>
      <c r="E4" s="1">
        <v>2018</v>
      </c>
      <c r="F4" s="1">
        <v>2019</v>
      </c>
      <c r="G4" s="1"/>
      <c r="H4" s="1" t="s">
        <v>14</v>
      </c>
      <c r="J4" t="s">
        <v>92</v>
      </c>
    </row>
    <row r="5" spans="2:10" x14ac:dyDescent="0.25">
      <c r="B5" s="2" t="s">
        <v>1</v>
      </c>
      <c r="C5" s="3"/>
      <c r="D5" s="3"/>
      <c r="E5" s="3"/>
      <c r="F5" s="3">
        <v>2131</v>
      </c>
      <c r="G5" s="3"/>
    </row>
    <row r="6" spans="2:10" x14ac:dyDescent="0.25">
      <c r="B6" s="2" t="s">
        <v>8</v>
      </c>
      <c r="C6" s="3"/>
      <c r="D6" s="3"/>
      <c r="E6" s="3"/>
      <c r="F6" s="3">
        <v>134685073</v>
      </c>
      <c r="G6" s="3"/>
    </row>
    <row r="7" spans="2:10" x14ac:dyDescent="0.25">
      <c r="B7" s="2" t="s">
        <v>9</v>
      </c>
      <c r="D7" s="4"/>
      <c r="E7" s="4"/>
      <c r="F7" s="5">
        <f>F5/F6</f>
        <v>1.582209485085255E-5</v>
      </c>
      <c r="G7" s="5"/>
      <c r="H7" s="7">
        <f>AVERAGE(F7)</f>
        <v>1.582209485085255E-5</v>
      </c>
      <c r="I7" s="4"/>
    </row>
    <row r="8" spans="2:10" ht="15" customHeight="1" x14ac:dyDescent="0.25">
      <c r="B8" s="2" t="s">
        <v>17</v>
      </c>
      <c r="D8" s="4"/>
      <c r="E8" s="4"/>
      <c r="F8" s="5">
        <f>'Northern Trust Master fondsen'!G12</f>
        <v>8.9319673455790307E-4</v>
      </c>
      <c r="G8" s="5"/>
      <c r="H8" s="7">
        <f t="shared" ref="H8:H10" si="0">AVERAGE(F8)</f>
        <v>8.9319673455790307E-4</v>
      </c>
    </row>
    <row r="9" spans="2:10" ht="15" customHeight="1" x14ac:dyDescent="0.25">
      <c r="B9" s="2" t="s">
        <v>29</v>
      </c>
      <c r="D9" s="4"/>
      <c r="E9" s="4"/>
      <c r="F9" s="5">
        <f>SUM(F7:F8)</f>
        <v>9.0901882940875559E-4</v>
      </c>
      <c r="G9" s="5"/>
      <c r="H9" s="7"/>
    </row>
    <row r="10" spans="2:10" x14ac:dyDescent="0.25">
      <c r="B10" s="2" t="s">
        <v>4</v>
      </c>
      <c r="D10" s="3"/>
      <c r="E10" s="3"/>
      <c r="F10" s="7">
        <v>2.3E-3</v>
      </c>
      <c r="H10" s="7">
        <f t="shared" si="0"/>
        <v>2.3E-3</v>
      </c>
    </row>
    <row r="11" spans="2:10" x14ac:dyDescent="0.25">
      <c r="B11" s="2"/>
      <c r="D11" s="3"/>
      <c r="E11" s="3"/>
      <c r="F11" s="7"/>
      <c r="H11" s="7"/>
    </row>
    <row r="12" spans="2:10" x14ac:dyDescent="0.25">
      <c r="B12" s="2" t="s">
        <v>49</v>
      </c>
      <c r="D12" s="3"/>
      <c r="E12" s="3"/>
      <c r="F12" s="7" t="s">
        <v>92</v>
      </c>
      <c r="H12" s="7"/>
    </row>
    <row r="13" spans="2:10" x14ac:dyDescent="0.25">
      <c r="B13" s="2" t="s">
        <v>50</v>
      </c>
      <c r="D13" s="3"/>
      <c r="E13" s="3"/>
      <c r="F13" s="7"/>
      <c r="H13" s="7"/>
    </row>
    <row r="14" spans="2:10" x14ac:dyDescent="0.25">
      <c r="B14" s="2" t="s">
        <v>52</v>
      </c>
      <c r="D14" s="3"/>
      <c r="E14" s="3"/>
      <c r="F14" s="7"/>
      <c r="H14" s="7"/>
    </row>
    <row r="15" spans="2:10" x14ac:dyDescent="0.25">
      <c r="B15" s="2" t="s">
        <v>53</v>
      </c>
    </row>
    <row r="16" spans="2:10" x14ac:dyDescent="0.25">
      <c r="B16" s="2"/>
    </row>
    <row r="17" spans="2:8" x14ac:dyDescent="0.25">
      <c r="B17" s="2" t="s">
        <v>22</v>
      </c>
      <c r="C17" s="34">
        <f>SUM(H7:H10)</f>
        <v>3.2090188294087553E-3</v>
      </c>
    </row>
    <row r="18" spans="2:8" x14ac:dyDescent="0.25">
      <c r="B18" s="2" t="s">
        <v>21</v>
      </c>
      <c r="C18" s="14" t="s">
        <v>45</v>
      </c>
    </row>
    <row r="20" spans="2:8" ht="15" customHeight="1" x14ac:dyDescent="0.25">
      <c r="B20" s="1" t="s">
        <v>44</v>
      </c>
      <c r="C20" s="7">
        <f>F10+(75%*F9)+0.1%</f>
        <v>3.9817641220565667E-3</v>
      </c>
      <c r="D20" s="4"/>
      <c r="E20" s="4"/>
      <c r="F20" s="4"/>
      <c r="G20" s="5"/>
      <c r="H20" s="6"/>
    </row>
    <row r="21" spans="2:8" ht="15" customHeight="1" x14ac:dyDescent="0.25">
      <c r="B21" s="2"/>
      <c r="D21" s="5"/>
      <c r="E21" s="5"/>
      <c r="F21" s="5"/>
      <c r="G21" s="5"/>
      <c r="H21" s="6"/>
    </row>
  </sheetData>
  <pageMargins left="0.7" right="0.7" top="0.75" bottom="0.75" header="0.3" footer="0.3"/>
  <pageSetup orientation="portrait" horizontalDpi="0" verticalDpi="0"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5834D-4F6D-4A3C-9D7B-51919C891EFD}">
  <dimension ref="B2:L15"/>
  <sheetViews>
    <sheetView workbookViewId="0"/>
  </sheetViews>
  <sheetFormatPr defaultRowHeight="15" x14ac:dyDescent="0.25"/>
  <cols>
    <col min="2" max="3" width="24.85546875" customWidth="1"/>
    <col min="4" max="7" width="17.7109375" customWidth="1"/>
    <col min="9" max="9" width="10.140625" bestFit="1" customWidth="1"/>
  </cols>
  <sheetData>
    <row r="2" spans="2:12" x14ac:dyDescent="0.25">
      <c r="B2" s="11" t="s">
        <v>11</v>
      </c>
      <c r="C2" s="11"/>
      <c r="D2" s="12"/>
      <c r="E2" s="12"/>
      <c r="F2" s="12"/>
      <c r="G2" s="12"/>
      <c r="I2" s="9" t="s">
        <v>19</v>
      </c>
    </row>
    <row r="3" spans="2:12" x14ac:dyDescent="0.25">
      <c r="C3" s="1">
        <v>2015</v>
      </c>
      <c r="D3" s="1">
        <v>2016</v>
      </c>
      <c r="E3" s="1">
        <v>2017</v>
      </c>
      <c r="F3" s="1">
        <v>2018</v>
      </c>
      <c r="G3" s="1">
        <v>2019</v>
      </c>
    </row>
    <row r="4" spans="2:12" x14ac:dyDescent="0.25">
      <c r="B4" s="1" t="s">
        <v>1</v>
      </c>
      <c r="C4" s="1"/>
      <c r="D4" s="13">
        <v>200474</v>
      </c>
      <c r="E4" s="13">
        <v>116789</v>
      </c>
      <c r="F4" s="13">
        <v>159626</v>
      </c>
      <c r="G4" s="13">
        <v>261252</v>
      </c>
      <c r="I4" s="1" t="s">
        <v>27</v>
      </c>
    </row>
    <row r="5" spans="2:12" x14ac:dyDescent="0.25">
      <c r="B5" s="1" t="s">
        <v>13</v>
      </c>
      <c r="C5" s="13">
        <v>957946194</v>
      </c>
      <c r="D5" s="13">
        <v>2005749714</v>
      </c>
      <c r="E5" s="13">
        <v>3210042287</v>
      </c>
      <c r="F5" s="13">
        <v>4337266633</v>
      </c>
      <c r="G5" s="13">
        <f>6989496789</f>
        <v>6989496789</v>
      </c>
      <c r="I5" s="9" t="s">
        <v>20</v>
      </c>
    </row>
    <row r="6" spans="2:12" x14ac:dyDescent="0.25">
      <c r="B6" s="1" t="s">
        <v>9</v>
      </c>
      <c r="C6" s="8"/>
      <c r="D6" s="5">
        <f t="shared" ref="D6:F6" si="0">D4/AVERAGE(C5:D5)</f>
        <v>1.3528648432442348E-4</v>
      </c>
      <c r="E6" s="5">
        <f t="shared" si="0"/>
        <v>4.4782844092559127E-5</v>
      </c>
      <c r="F6" s="5">
        <f t="shared" si="0"/>
        <v>4.2300110328596436E-5</v>
      </c>
      <c r="G6" s="5">
        <f>G4/AVERAGE(F5:G5)</f>
        <v>4.6130035609743487E-5</v>
      </c>
      <c r="I6" s="9" t="s">
        <v>40</v>
      </c>
    </row>
    <row r="7" spans="2:12" x14ac:dyDescent="0.25">
      <c r="E7" s="3"/>
      <c r="F7" s="3"/>
      <c r="G7" s="3"/>
      <c r="I7" s="9" t="s">
        <v>18</v>
      </c>
    </row>
    <row r="8" spans="2:12" x14ac:dyDescent="0.25">
      <c r="B8" s="11" t="s">
        <v>12</v>
      </c>
      <c r="C8" s="11"/>
      <c r="D8" s="12"/>
      <c r="E8" s="12"/>
      <c r="F8" s="12"/>
      <c r="G8" s="12"/>
    </row>
    <row r="9" spans="2:12" x14ac:dyDescent="0.25">
      <c r="C9" s="1">
        <v>2015</v>
      </c>
      <c r="D9" s="1">
        <v>2016</v>
      </c>
      <c r="E9" s="1">
        <v>2017</v>
      </c>
      <c r="F9" s="1">
        <v>2018</v>
      </c>
      <c r="G9" s="1">
        <v>2019</v>
      </c>
      <c r="I9" s="1" t="s">
        <v>27</v>
      </c>
      <c r="J9" s="6"/>
      <c r="L9" s="6"/>
    </row>
    <row r="10" spans="2:12" x14ac:dyDescent="0.25">
      <c r="B10" s="1" t="s">
        <v>1</v>
      </c>
      <c r="C10" s="1"/>
      <c r="E10" s="3"/>
      <c r="F10" s="3"/>
      <c r="G10" s="3">
        <v>63179</v>
      </c>
      <c r="I10" s="15" t="s">
        <v>41</v>
      </c>
      <c r="L10" s="4"/>
    </row>
    <row r="11" spans="2:12" x14ac:dyDescent="0.25">
      <c r="B11" s="1" t="s">
        <v>13</v>
      </c>
      <c r="C11" s="1"/>
      <c r="D11" s="3"/>
      <c r="E11" s="3"/>
      <c r="F11" s="3">
        <v>0</v>
      </c>
      <c r="G11" s="3">
        <v>141467154</v>
      </c>
      <c r="I11" s="9" t="s">
        <v>39</v>
      </c>
      <c r="L11" s="6"/>
    </row>
    <row r="12" spans="2:12" x14ac:dyDescent="0.25">
      <c r="B12" s="1" t="s">
        <v>9</v>
      </c>
      <c r="C12" s="1"/>
      <c r="E12" s="4"/>
      <c r="F12" s="4"/>
      <c r="G12" s="5">
        <f>G10/AVERAGE(F11:G11)</f>
        <v>8.9319673455790307E-4</v>
      </c>
    </row>
    <row r="13" spans="2:12" x14ac:dyDescent="0.25">
      <c r="I13" s="9" t="s">
        <v>46</v>
      </c>
    </row>
    <row r="14" spans="2:12" x14ac:dyDescent="0.25">
      <c r="I14" s="9" t="s">
        <v>47</v>
      </c>
    </row>
    <row r="15" spans="2:12" x14ac:dyDescent="0.25">
      <c r="I15" s="9" t="s">
        <v>48</v>
      </c>
      <c r="J15" s="7"/>
    </row>
  </sheetData>
  <pageMargins left="0.7" right="0.7" top="0.75" bottom="0.75" header="0.3" footer="0.3"/>
  <pageSetup orientation="portrait" horizontalDpi="0" verticalDpi="0"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8616F-4365-4E03-AA99-F5C2282C78C2}">
  <dimension ref="B2:P16"/>
  <sheetViews>
    <sheetView workbookViewId="0">
      <selection activeCell="L11" sqref="L11"/>
    </sheetView>
  </sheetViews>
  <sheetFormatPr defaultRowHeight="15" x14ac:dyDescent="0.25"/>
  <cols>
    <col min="2" max="2" width="56.7109375" bestFit="1" customWidth="1"/>
  </cols>
  <sheetData>
    <row r="2" spans="2:16" x14ac:dyDescent="0.25">
      <c r="B2" s="18"/>
      <c r="C2" s="19">
        <v>2012</v>
      </c>
      <c r="D2" s="19">
        <v>2013</v>
      </c>
      <c r="E2" s="19">
        <v>2014</v>
      </c>
      <c r="F2" s="19">
        <v>2015</v>
      </c>
      <c r="G2" s="19">
        <v>2016</v>
      </c>
      <c r="H2" s="19">
        <v>2017</v>
      </c>
      <c r="I2" s="19">
        <v>2018</v>
      </c>
      <c r="J2" s="19">
        <v>2019</v>
      </c>
      <c r="K2" s="18"/>
      <c r="L2" s="20" t="s">
        <v>54</v>
      </c>
      <c r="M2" s="20" t="s">
        <v>55</v>
      </c>
    </row>
    <row r="3" spans="2:16" x14ac:dyDescent="0.25">
      <c r="B3" s="20" t="s">
        <v>56</v>
      </c>
      <c r="C3" s="21"/>
      <c r="D3" s="21"/>
      <c r="E3" s="21"/>
      <c r="F3" s="21"/>
      <c r="G3" s="21">
        <v>10.55</v>
      </c>
      <c r="H3" s="21">
        <v>8.32</v>
      </c>
      <c r="I3" s="21">
        <v>-3.3</v>
      </c>
      <c r="J3" s="21">
        <v>30.93</v>
      </c>
      <c r="K3" s="18"/>
      <c r="L3" s="18"/>
      <c r="M3" s="21"/>
    </row>
    <row r="4" spans="2:16" x14ac:dyDescent="0.25">
      <c r="B4" s="20" t="s">
        <v>57</v>
      </c>
      <c r="C4" s="21"/>
      <c r="D4" s="21"/>
      <c r="E4" s="21">
        <v>20.76</v>
      </c>
      <c r="F4" s="21">
        <v>11.13</v>
      </c>
      <c r="G4" s="21">
        <v>10.72</v>
      </c>
      <c r="H4" s="21">
        <v>8.5399999999999991</v>
      </c>
      <c r="I4" s="21">
        <v>-3.12</v>
      </c>
      <c r="J4" s="21">
        <v>31.17</v>
      </c>
      <c r="K4" s="18"/>
      <c r="L4" s="18"/>
      <c r="M4" s="18"/>
    </row>
    <row r="5" spans="2:16" x14ac:dyDescent="0.25">
      <c r="B5" s="20" t="s">
        <v>58</v>
      </c>
      <c r="C5" s="21"/>
      <c r="D5" s="21"/>
      <c r="E5" s="21"/>
      <c r="F5" s="21"/>
      <c r="G5" s="21">
        <v>10.07</v>
      </c>
      <c r="H5" s="21">
        <v>7.95</v>
      </c>
      <c r="I5" s="21">
        <v>-3.65</v>
      </c>
      <c r="J5" s="21">
        <v>30.44</v>
      </c>
      <c r="K5" s="18"/>
      <c r="L5" s="18"/>
      <c r="M5" s="21"/>
    </row>
    <row r="6" spans="2:16" x14ac:dyDescent="0.25">
      <c r="B6" s="20" t="s">
        <v>59</v>
      </c>
      <c r="C6" s="21"/>
      <c r="D6" s="21"/>
      <c r="E6" s="21"/>
      <c r="F6" s="21"/>
      <c r="G6" s="21">
        <f>G4-G3</f>
        <v>0.16999999999999993</v>
      </c>
      <c r="H6" s="21">
        <f>H4-H3</f>
        <v>0.21999999999999886</v>
      </c>
      <c r="I6" s="21">
        <f>I4-I3</f>
        <v>0.17999999999999972</v>
      </c>
      <c r="J6" s="21">
        <f>J4-J3</f>
        <v>0.24000000000000199</v>
      </c>
      <c r="K6" s="18"/>
      <c r="L6" s="39">
        <f>AVERAGE(G6:J6)</f>
        <v>0.20250000000000012</v>
      </c>
      <c r="M6" s="21"/>
      <c r="O6" s="38">
        <f>AVERAGE(I6:J6)</f>
        <v>0.21000000000000085</v>
      </c>
      <c r="P6" t="s">
        <v>95</v>
      </c>
    </row>
    <row r="7" spans="2:16" x14ac:dyDescent="0.25">
      <c r="B7" s="20" t="s">
        <v>60</v>
      </c>
      <c r="C7" s="21"/>
      <c r="D7" s="21"/>
      <c r="E7" s="21"/>
      <c r="F7" s="21"/>
      <c r="G7" s="21">
        <f>G3-G5</f>
        <v>0.48000000000000043</v>
      </c>
      <c r="H7" s="21">
        <f t="shared" ref="H7:J7" si="0">H3-H5</f>
        <v>0.37000000000000011</v>
      </c>
      <c r="I7" s="21">
        <f t="shared" si="0"/>
        <v>0.35000000000000009</v>
      </c>
      <c r="J7" s="21">
        <f t="shared" si="0"/>
        <v>0.48999999999999844</v>
      </c>
      <c r="K7" s="18"/>
      <c r="L7" s="18"/>
      <c r="M7" s="21">
        <f>AVERAGE(G7:J7)</f>
        <v>0.42249999999999976</v>
      </c>
    </row>
    <row r="8" spans="2:16" x14ac:dyDescent="0.25">
      <c r="B8" s="20" t="s">
        <v>101</v>
      </c>
      <c r="G8" s="35">
        <f>G4-G5</f>
        <v>0.65000000000000036</v>
      </c>
      <c r="H8" s="35">
        <f t="shared" ref="H8:J8" si="1">H4-H5</f>
        <v>0.58999999999999897</v>
      </c>
      <c r="I8" s="35">
        <f t="shared" si="1"/>
        <v>0.5299999999999998</v>
      </c>
      <c r="J8" s="35">
        <f t="shared" si="1"/>
        <v>0.73000000000000043</v>
      </c>
      <c r="O8" s="36">
        <f>AVERAGE(G8:J8)</f>
        <v>0.62499999999999989</v>
      </c>
      <c r="P8" t="s">
        <v>102</v>
      </c>
    </row>
    <row r="11" spans="2:16" x14ac:dyDescent="0.25">
      <c r="B11" s="22"/>
      <c r="D11" s="23">
        <v>2013</v>
      </c>
      <c r="E11" s="23">
        <v>2014</v>
      </c>
      <c r="F11" s="23">
        <v>2015</v>
      </c>
      <c r="G11" s="23">
        <v>2016</v>
      </c>
      <c r="H11" s="23">
        <v>2017</v>
      </c>
      <c r="I11" s="23">
        <v>2018</v>
      </c>
      <c r="J11" s="23">
        <v>2019</v>
      </c>
      <c r="K11" s="23"/>
      <c r="L11" s="24" t="s">
        <v>54</v>
      </c>
      <c r="M11" s="24" t="s">
        <v>55</v>
      </c>
    </row>
    <row r="12" spans="2:16" x14ac:dyDescent="0.25">
      <c r="B12" s="24" t="s">
        <v>61</v>
      </c>
      <c r="D12" s="25"/>
      <c r="E12" s="25"/>
      <c r="F12" s="25"/>
      <c r="G12" s="25">
        <v>12.94</v>
      </c>
      <c r="H12" s="25">
        <v>21.63</v>
      </c>
      <c r="I12" s="25">
        <v>-10.75</v>
      </c>
      <c r="J12" s="25">
        <v>20.82</v>
      </c>
      <c r="K12" s="25"/>
      <c r="L12" s="22"/>
      <c r="M12" s="25"/>
    </row>
    <row r="13" spans="2:16" x14ac:dyDescent="0.25">
      <c r="B13" s="24" t="s">
        <v>57</v>
      </c>
      <c r="D13" s="25"/>
      <c r="E13" s="25">
        <v>12.03</v>
      </c>
      <c r="F13" s="25">
        <v>-3.64</v>
      </c>
      <c r="G13" s="25">
        <v>13.57</v>
      </c>
      <c r="H13" s="25">
        <v>21.71</v>
      </c>
      <c r="I13" s="25">
        <v>-10.25</v>
      </c>
      <c r="J13" s="25">
        <v>21.08</v>
      </c>
      <c r="K13" s="25"/>
      <c r="L13" s="22"/>
      <c r="M13" s="25"/>
    </row>
    <row r="14" spans="2:16" x14ac:dyDescent="0.25">
      <c r="B14" s="24" t="s">
        <v>58</v>
      </c>
      <c r="D14" s="25"/>
      <c r="E14" s="25"/>
      <c r="F14" s="25"/>
      <c r="G14" s="25">
        <v>13.14</v>
      </c>
      <c r="H14" s="25">
        <v>21.3</v>
      </c>
      <c r="I14" s="25">
        <v>-10.6</v>
      </c>
      <c r="J14" s="25">
        <v>20.61</v>
      </c>
      <c r="K14" s="25"/>
      <c r="L14" s="22"/>
      <c r="M14" s="25"/>
    </row>
    <row r="15" spans="2:16" x14ac:dyDescent="0.25">
      <c r="B15" s="24" t="s">
        <v>59</v>
      </c>
      <c r="D15" s="25"/>
      <c r="E15" s="25"/>
      <c r="F15" s="25"/>
      <c r="G15" s="25">
        <f>G13-G12</f>
        <v>0.63000000000000078</v>
      </c>
      <c r="H15" s="25">
        <f>H13-H12</f>
        <v>8.0000000000001847E-2</v>
      </c>
      <c r="I15" s="25">
        <f>I13-I12</f>
        <v>0.5</v>
      </c>
      <c r="J15" s="25">
        <f>J13-J12</f>
        <v>0.25999999999999801</v>
      </c>
      <c r="K15" s="25"/>
      <c r="L15" s="37">
        <f>AVERAGE(G15:J15)</f>
        <v>0.36750000000000016</v>
      </c>
      <c r="M15" s="25"/>
    </row>
    <row r="16" spans="2:16" x14ac:dyDescent="0.25">
      <c r="B16" s="24" t="s">
        <v>60</v>
      </c>
      <c r="D16" s="25"/>
      <c r="E16" s="25"/>
      <c r="F16" s="25"/>
      <c r="G16" s="25">
        <f>G12-G14</f>
        <v>-0.20000000000000107</v>
      </c>
      <c r="H16" s="25">
        <f t="shared" ref="H16:J16" si="2">H12-H14</f>
        <v>0.32999999999999829</v>
      </c>
      <c r="I16" s="25">
        <f t="shared" si="2"/>
        <v>-0.15000000000000036</v>
      </c>
      <c r="J16" s="25">
        <f t="shared" si="2"/>
        <v>0.21000000000000085</v>
      </c>
      <c r="K16" s="25"/>
      <c r="L16" s="25"/>
      <c r="M16" s="25">
        <f>AVERAGE(G16:J16)</f>
        <v>4.7499999999999432E-2</v>
      </c>
    </row>
  </sheetData>
  <pageMargins left="0.7" right="0.7" top="0.75" bottom="0.75" header="0.3" footer="0.3"/>
  <pageSetup orientation="portrait" horizontalDpi="0"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7</vt:i4>
      </vt:variant>
    </vt:vector>
  </HeadingPairs>
  <TitlesOfParts>
    <vt:vector size="7" baseType="lpstr">
      <vt:lpstr>Aannames</vt:lpstr>
      <vt:lpstr>MarketCap</vt:lpstr>
      <vt:lpstr>World</vt:lpstr>
      <vt:lpstr>Emerging</vt:lpstr>
      <vt:lpstr>SmallCaps</vt:lpstr>
      <vt:lpstr>Northern Trust Master fondsen</vt:lpstr>
      <vt:lpstr>Tracking Difference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Gerben</dc:creator>
  <cp:lastModifiedBy>Gerben</cp:lastModifiedBy>
  <dcterms:created xsi:type="dcterms:W3CDTF">2015-06-05T18:19:34Z</dcterms:created>
  <dcterms:modified xsi:type="dcterms:W3CDTF">2020-08-06T09:47:06Z</dcterms:modified>
</cp:coreProperties>
</file>