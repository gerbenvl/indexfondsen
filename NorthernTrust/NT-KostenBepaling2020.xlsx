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Aandelen\KeuzeWelkIndexFonds\PerFonds\NorthernTrust\"/>
    </mc:Choice>
  </mc:AlternateContent>
  <xr:revisionPtr revIDLastSave="0" documentId="13_ncr:1_{C3E7FAFC-5820-4F33-BDD7-9E2831A14600}" xr6:coauthVersionLast="45" xr6:coauthVersionMax="45" xr10:uidLastSave="{00000000-0000-0000-0000-000000000000}"/>
  <bookViews>
    <workbookView xWindow="-120" yWindow="-120" windowWidth="29040" windowHeight="15840" activeTab="8" xr2:uid="{00000000-000D-0000-FFFF-FFFF00000000}"/>
  </bookViews>
  <sheets>
    <sheet name="Aannames" sheetId="4" r:id="rId1"/>
    <sheet name="MarketCap" sheetId="7" r:id="rId2"/>
    <sheet name="World" sheetId="1" r:id="rId3"/>
    <sheet name="Emerging" sheetId="5" r:id="rId4"/>
    <sheet name="SmallCaps" sheetId="6" r:id="rId5"/>
    <sheet name="NA" sheetId="10" r:id="rId6"/>
    <sheet name="Europe" sheetId="11" r:id="rId7"/>
    <sheet name="Northern Trust Master fondsen" sheetId="2" r:id="rId8"/>
    <sheet name="Tracking Difference" sheetId="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20" i="3" l="1"/>
  <c r="I28" i="3"/>
  <c r="F28" i="3"/>
  <c r="G28" i="3"/>
  <c r="H28" i="3"/>
  <c r="E28" i="3"/>
  <c r="F20" i="3"/>
  <c r="G20" i="3"/>
  <c r="H20" i="3"/>
  <c r="E20" i="3"/>
  <c r="C22" i="11" l="1"/>
  <c r="C22" i="10"/>
  <c r="D8" i="11" l="1"/>
  <c r="E8" i="11"/>
  <c r="F8" i="11"/>
  <c r="C8" i="11"/>
  <c r="D8" i="10"/>
  <c r="E8" i="10"/>
  <c r="F8" i="10"/>
  <c r="C8" i="10"/>
  <c r="G24" i="2"/>
  <c r="F24" i="2"/>
  <c r="E24" i="2"/>
  <c r="D24" i="2"/>
  <c r="G18" i="2"/>
  <c r="F18" i="2"/>
  <c r="E18" i="2"/>
  <c r="D18" i="2"/>
  <c r="C19" i="10"/>
  <c r="C19" i="11"/>
  <c r="F15" i="6"/>
  <c r="F14" i="6"/>
  <c r="F12" i="6"/>
  <c r="F12" i="10"/>
  <c r="F14" i="10" s="1"/>
  <c r="F12" i="11"/>
  <c r="F15" i="11" s="1"/>
  <c r="E12" i="10"/>
  <c r="E12" i="11"/>
  <c r="E14" i="11" s="1"/>
  <c r="D12" i="11"/>
  <c r="D12" i="10"/>
  <c r="D14" i="10" s="1"/>
  <c r="C12" i="10"/>
  <c r="C15" i="10" s="1"/>
  <c r="C12" i="11"/>
  <c r="C15" i="11" s="1"/>
  <c r="F10" i="5"/>
  <c r="E10" i="5"/>
  <c r="D10" i="5"/>
  <c r="C10" i="5"/>
  <c r="F12" i="1"/>
  <c r="E12" i="1"/>
  <c r="D12" i="1"/>
  <c r="E15" i="11"/>
  <c r="D15" i="11"/>
  <c r="F14" i="11"/>
  <c r="D14" i="11"/>
  <c r="H10" i="11"/>
  <c r="F7" i="11"/>
  <c r="F9" i="11" s="1"/>
  <c r="E7" i="11"/>
  <c r="D7" i="11"/>
  <c r="D9" i="11" s="1"/>
  <c r="C7" i="11"/>
  <c r="C9" i="11" s="1"/>
  <c r="H30" i="3"/>
  <c r="G30" i="3"/>
  <c r="F30" i="3"/>
  <c r="E30" i="3"/>
  <c r="H29" i="3"/>
  <c r="G29" i="3"/>
  <c r="F29" i="3"/>
  <c r="E29" i="3"/>
  <c r="F22" i="3"/>
  <c r="G22" i="3"/>
  <c r="H22" i="3"/>
  <c r="E22" i="3"/>
  <c r="J22" i="3" s="1"/>
  <c r="F21" i="3"/>
  <c r="G21" i="3"/>
  <c r="H21" i="3"/>
  <c r="E21" i="3"/>
  <c r="K21" i="3" s="1"/>
  <c r="E15" i="10"/>
  <c r="E14" i="10"/>
  <c r="H10" i="10"/>
  <c r="F7" i="10"/>
  <c r="F9" i="10" s="1"/>
  <c r="E7" i="10"/>
  <c r="E9" i="10" s="1"/>
  <c r="D7" i="10"/>
  <c r="D9" i="10" s="1"/>
  <c r="C7" i="10"/>
  <c r="C9" i="10" s="1"/>
  <c r="E9" i="11" l="1"/>
  <c r="H9" i="11"/>
  <c r="F15" i="10"/>
  <c r="H15" i="11"/>
  <c r="D15" i="10"/>
  <c r="C14" i="10"/>
  <c r="C14" i="11"/>
  <c r="H14" i="11" s="1"/>
  <c r="J30" i="3"/>
  <c r="K29" i="3"/>
  <c r="H14" i="10"/>
  <c r="H9" i="10"/>
  <c r="C18" i="11" l="1"/>
  <c r="C20" i="11" s="1"/>
  <c r="C24" i="11" s="1"/>
  <c r="H15" i="10"/>
  <c r="C18" i="10"/>
  <c r="C20" i="10" s="1"/>
  <c r="C24" i="10" l="1"/>
  <c r="I6" i="7" l="1"/>
  <c r="I7" i="7"/>
  <c r="I5" i="7"/>
  <c r="H8" i="7"/>
  <c r="H16" i="7" l="1"/>
  <c r="H9" i="7"/>
  <c r="H13" i="7"/>
  <c r="H12" i="7"/>
  <c r="H7" i="7"/>
  <c r="H6" i="7"/>
  <c r="H5" i="7"/>
  <c r="C9" i="7" l="1"/>
  <c r="C20" i="5"/>
  <c r="H10" i="6"/>
  <c r="F8" i="6"/>
  <c r="H8" i="6" s="1"/>
  <c r="F7" i="6"/>
  <c r="H7" i="6" s="1"/>
  <c r="F13" i="5"/>
  <c r="E13" i="5"/>
  <c r="D13" i="5"/>
  <c r="C13" i="5"/>
  <c r="F12" i="5"/>
  <c r="E12" i="5"/>
  <c r="D12" i="5"/>
  <c r="C12" i="5"/>
  <c r="H8" i="5"/>
  <c r="F7" i="5"/>
  <c r="E7" i="5"/>
  <c r="D7" i="5"/>
  <c r="C7" i="5"/>
  <c r="H13" i="3"/>
  <c r="G13" i="3"/>
  <c r="F13" i="3"/>
  <c r="E13" i="3"/>
  <c r="H14" i="3"/>
  <c r="G14" i="3"/>
  <c r="F14" i="3"/>
  <c r="E14" i="3"/>
  <c r="H6" i="3"/>
  <c r="G6" i="3"/>
  <c r="F6" i="3"/>
  <c r="E6" i="3"/>
  <c r="H7" i="3"/>
  <c r="G7" i="3"/>
  <c r="F7" i="3"/>
  <c r="E7" i="3"/>
  <c r="H12" i="5" l="1"/>
  <c r="K6" i="3"/>
  <c r="M7" i="3"/>
  <c r="C23" i="1" s="1"/>
  <c r="H7" i="5"/>
  <c r="H13" i="5"/>
  <c r="C18" i="6"/>
  <c r="F9" i="6"/>
  <c r="C21" i="6" s="1"/>
  <c r="K7" i="7" s="1"/>
  <c r="L7" i="7" s="1"/>
  <c r="J14" i="3"/>
  <c r="C17" i="5" s="1"/>
  <c r="K13" i="3"/>
  <c r="J7" i="3"/>
  <c r="C19" i="1" s="1"/>
  <c r="D15" i="1"/>
  <c r="E15" i="1"/>
  <c r="F15" i="1"/>
  <c r="C15" i="1"/>
  <c r="D14" i="1"/>
  <c r="E14" i="1"/>
  <c r="F14" i="1"/>
  <c r="C14" i="1"/>
  <c r="C16" i="5" l="1"/>
  <c r="C18" i="5" s="1"/>
  <c r="C21" i="5" s="1"/>
  <c r="K6" i="7" s="1"/>
  <c r="L6" i="7" s="1"/>
  <c r="H14" i="1"/>
  <c r="H15" i="1"/>
  <c r="D6" i="2"/>
  <c r="E6" i="2"/>
  <c r="F6" i="2"/>
  <c r="G12" i="2"/>
  <c r="F7" i="1"/>
  <c r="E7" i="1"/>
  <c r="D7" i="1"/>
  <c r="C7" i="1"/>
  <c r="H10" i="1" l="1"/>
  <c r="G5" i="2"/>
  <c r="G6" i="2" s="1"/>
  <c r="D8" i="1" l="1"/>
  <c r="D9" i="1" s="1"/>
  <c r="C8" i="1"/>
  <c r="E8" i="1"/>
  <c r="E9" i="1" s="1"/>
  <c r="C9" i="1" l="1"/>
  <c r="F8" i="1" l="1"/>
  <c r="F9" i="1" s="1"/>
  <c r="C22" i="1" s="1"/>
  <c r="C24" i="1" s="1"/>
  <c r="H9" i="1" l="1"/>
  <c r="C26" i="1" l="1"/>
  <c r="C29" i="1" s="1"/>
  <c r="C18" i="1"/>
  <c r="C20" i="1" s="1"/>
  <c r="C28" i="1" s="1"/>
  <c r="K5" i="7" s="1"/>
  <c r="L5" i="7" s="1"/>
  <c r="L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tc={5649945A-DA5B-4F3E-AD37-39E50C9D3093}</author>
    <author>tc={32D85BBB-ADB9-436B-A8F2-4522899AD645}</author>
    <author>tc={E50F17E8-775B-49C3-97D7-B2F512BFCD2C}</author>
    <author>tc={2BFD1DC0-1DA6-4E67-97B2-2CE5B3592E73}</author>
  </authors>
  <commentList>
    <comment ref="B5" authorId="0" shapeId="0" xr:uid="{5649945A-DA5B-4F3E-AD37-39E50C9D309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6" authorId="1"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2" shapeId="0" xr:uid="{E50F17E8-775B-49C3-97D7-B2F512BFCD2C}">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2" authorId="3" shapeId="0" xr:uid="{2BFD1DC0-1DA6-4E67-97B2-2CE5B3592E7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tc={B9734DE7-22D8-45D0-9EF6-06819DD1AEF6}</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8" authorId="1" shapeId="0" xr:uid="{B9734DE7-22D8-45D0-9EF6-06819DD1AEF6}">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tc={693A21C3-B684-4F83-8F88-788AD98B6C01}</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693A21C3-B684-4F83-8F88-788AD98B6C01}">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tc={19782BDC-3516-452A-A148-93276D8F4BBB}</author>
    <author>tc={5EB2339F-A6A8-4B4E-96BF-9F4706E8D87F}</author>
  </authors>
  <commentList>
    <comment ref="B6" authorId="0" shapeId="0" xr:uid="{19782BDC-3516-452A-A148-93276D8F4BBB}">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5EB2339F-A6A8-4B4E-96BF-9F4706E8D87F}">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tc={946B1519-DCF6-4AB0-8F53-062031767B1C}</author>
    <author>tc={47B9A23D-4E39-4E7F-9EA4-13DC84F4C570}</author>
  </authors>
  <commentList>
    <comment ref="B6" authorId="0" shapeId="0" xr:uid="{946B1519-DCF6-4AB0-8F53-062031767B1C}">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47B9A23D-4E39-4E7F-9EA4-13DC84F4C570}">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tc={25E7F969-6049-4206-AFF3-7E77554C6FC1}</author>
    <author>tc={9B2ABA78-5EA9-4DFE-93AE-E8B1C32AF4D1}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1"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7" authorId="2" shapeId="0" xr:uid="{25E7F969-6049-4206-AFF3-7E77554C6FC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23" authorId="3" shapeId="0" xr:uid="{9B2ABA78-5EA9-4DFE-93AE-E8B1C32AF4D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J2" authorId="0" shapeId="0" xr:uid="{434CD842-3C43-4334-B2E1-FAF0941512B8}">
      <text>
        <r>
          <rPr>
            <b/>
            <sz val="9"/>
            <color indexed="81"/>
            <rFont val="Tahoma"/>
            <family val="2"/>
          </rPr>
          <t>Gerben:</t>
        </r>
        <r>
          <rPr>
            <sz val="9"/>
            <color indexed="81"/>
            <rFont val="Tahoma"/>
            <family val="2"/>
          </rPr>
          <t xml:space="preserve">
Tracking Difference</t>
        </r>
      </text>
    </comment>
    <comment ref="K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<sst xmlns="http://schemas.openxmlformats.org/spreadsheetml/2006/main" count="230" uniqueCount="116">
  <si>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</si>
  <si>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</si>
  <si>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</si>
  <si>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</si>
  <si>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</si>
  <si>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</si>
  <si>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</si>
  <si>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</si>
  <si>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</si>
  <si>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</si>
  <si>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</si>
  <si>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</si>
  <si>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</si>
  <si>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</si>
  <si>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</si>
  <si>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</si>
  <si>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</si>
  <si>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</si>
  <si>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</si>
  <si>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</si>
  <si>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</si>
  <si>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Kosten gemiddeld</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</si>
  <si>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</si>
  <si>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</si>
  <si>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</si>
  <si>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</si>
  <si>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</si>
  <si>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</si>
  <si>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</si>
  <si>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</si>
  <si>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</si>
  <si>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</si>
  <si>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</si>
  <si>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</si>
  <si>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</si>
  <si>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</si>
  <si>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</si>
  <si>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</si>
  <si>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</si>
  <si>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</si>
  <si>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</si>
  <si>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</si>
  <si>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</si>
  <si>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Nog niet te geven vanwege transactiekosten en nu aan het opstarten is. Zal wat zakken tov nu, maar blijft wel small caps dus veel posities</t>
  </si>
  <si>
    <t>Bij iShares kan ik nog achteruit doordat de TER dagelijks in rekening wordt gebracht en er vermeld staat hoeveel er op jaarbasis</t>
  </si>
  <si>
    <t>in rekening is gebracht, bij NT is dat niet los te vinden, moet dan los gaan optellen wat er onder de TER valt van de kosten rekening</t>
  </si>
  <si>
    <t>zou preciezer zijn, maar de bedragen zijn zo laag dat het waarschijnlijk geen verschil maakt</t>
  </si>
  <si>
    <t>Rente</t>
  </si>
  <si>
    <t>Allen maar 1x per jaar dividend uitkering, lopende dividenden worden wel meteen geinvesteerd?</t>
  </si>
  <si>
    <t>TD</t>
  </si>
  <si>
    <t>OPNI</t>
  </si>
  <si>
    <t>MSCI custom ESG (EUR) gross</t>
  </si>
  <si>
    <t>MSCI custom ESG (EUR) net</t>
  </si>
  <si>
    <t>Vs gross</t>
  </si>
  <si>
    <t>Vs net</t>
  </si>
  <si>
    <t>Tracking difference</t>
  </si>
  <si>
    <t>De TER heeft veel gewisseld, world wordt duurder als er meer vermogen in zit. Raar</t>
  </si>
  <si>
    <t>Gat met kosten benadering</t>
  </si>
  <si>
    <t>Tussen de kosten benadering en tracking difference zit best een gat:</t>
  </si>
  <si>
    <t>Dividend herinvestering drag?</t>
  </si>
  <si>
    <t>Tax drag?</t>
  </si>
  <si>
    <t>Schatting tracking diff toekomst</t>
  </si>
  <si>
    <t>Alle kosten inc eventueel lek en drag</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</si>
  <si>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</si>
  <si>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</si>
  <si>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</si>
  <si>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</si>
  <si>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</si>
  <si>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</si>
  <si>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</si>
  <si>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</si>
  <si>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</si>
  <si>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</si>
  <si>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</si>
  <si>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</si>
  <si>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</si>
  <si>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Kosten</t>
  </si>
  <si>
    <t>2016-2019</t>
  </si>
  <si>
    <t>Toch nog wat dividend lekkage?</t>
  </si>
  <si>
    <t>Optimized selectie?</t>
  </si>
  <si>
    <t>Of in begin gewoon goedkoop geweest om vermogen aan te trekken?</t>
  </si>
  <si>
    <t>Of de average net asset value klopt niet</t>
  </si>
  <si>
    <t>De in rekening gebrachte TER lijkt soms anders als wat er in rekening gebracht had moeten worden</t>
  </si>
  <si>
    <t>todo</t>
  </si>
  <si>
    <t>2018-2019</t>
  </si>
  <si>
    <t>Op de 2017 factsheet adverteerde men wel met een 0.15% TER</t>
  </si>
  <si>
    <t>TD 2018-2019</t>
  </si>
  <si>
    <t>2016-2019 Alle kosten inc niet goed volgen index om onduidelijke redenen</t>
  </si>
  <si>
    <t>2018-2019 Alle kosten inc niet goed volgen index om onduidelijke redenen</t>
  </si>
  <si>
    <t>Feeder master structuur met cash drag?</t>
  </si>
  <si>
    <t>Tracking Difference klopt niet door Swing pricing?</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</si>
  <si>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</si>
  <si>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</si>
  <si>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</si>
  <si>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</si>
  <si>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</si>
  <si>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</si>
  <si>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</si>
  <si>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</si>
  <si>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</si>
  <si>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</si>
  <si>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</si>
  <si>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</si>
  <si>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</si>
  <si>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</si>
  <si>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</si>
  <si>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</si>
  <si>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</si>
  <si>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 TER in rekening gebracht + rente</t>
  </si>
  <si>
    <t>Huidige TER en transactiekosten laatste jaren</t>
  </si>
  <si>
    <t>Tussen de kosten benadering en tracking difference zit een flink gat</t>
  </si>
  <si>
    <t>Bij de feeders worden er namelijk bijna geen transactiekosten gemeld</t>
  </si>
  <si>
    <t>Tracking Difference kan vervuild zijn door de swing pricing, omdat swing pricing in de NAV zit</t>
  </si>
  <si>
    <t>In emerging markets wat hogere transactiekosten</t>
  </si>
  <si>
    <t>Transactiekosten ietwat aan de hoge kant voor europa</t>
  </si>
  <si>
    <t>Bruto - netto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</si>
</sst>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 numFmtId="168" formatCode="_ [$€-413]\ * #,##0_ ;_ [$€-413]\ * \-#,##0_ ;_ [$€-413]\ * &quot;-&quot;??_ ;_ @_ "/>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43">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68" fontId="0" fillId="0" borderId="0" xfId="1" applyNumberFormat="1" applyFont="1"/>
    <xf numFmtId="164" fontId="0" fillId="0" borderId="0" xfId="0" applyNumberFormat="1" applyFont="1"/>
    <xf numFmtId="10" fontId="1" fillId="0" borderId="0" xfId="1" applyNumberFormat="1" applyFont="1"/>
    <xf numFmtId="165" fontId="1" fillId="0" borderId="0" xfId="1" applyNumberFormat="1" applyFont="1"/>
    <xf numFmtId="0" fontId="3" fillId="0" borderId="0" xfId="0" applyFont="1" applyAlignment="1">
      <alignment horizontal="left" vertical="top" wrapText="1"/>
    </xf>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 dT="2020-08-07T06:35:24.60" personId="{A4396B54-26D6-4DB8-90A1-70B73ABD3ACC}" id="{5649945A-DA5B-4F3E-AD37-39E50C9D3093}">
    <text>Uit statement of comprehensive income</text>
  </threadedComment>
  <threadedComment ref="B6" dT="2020-06-12T12:38:54.75" personId="{A4396B54-26D6-4DB8-90A1-70B73ABD3ACC}" id="{32D85BBB-ADB9-436B-A8F2-4522899AD645}">
    <text>Uit 22. Portfolio Turnover Rate</text>
  </threadedComment>
  <threadedComment ref="B10" dT="2020-08-07T06:59:33.92" personId="{A4396B54-26D6-4DB8-90A1-70B73ABD3ACC}" id="{E50F17E8-775B-49C3-97D7-B2F512BFCD2C}">
    <text>15. Ongoing Charges Figure</text>
  </threadedComment>
  <threadedComment ref="B12" dT="2020-08-07T06:59:52.40" personId="{A4396B54-26D6-4DB8-90A1-70B73ABD3ACC}" id="{2BFD1DC0-1DA6-4E67-97B2-2CE5B3592E73}">
    <text>Uit statement of comprehensive income</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 ref="B8" dT="2020-08-07T06:59:33.92" personId="{A4396B54-26D6-4DB8-90A1-70B73ABD3ACC}" id="{B9734DE7-22D8-45D0-9EF6-06819DD1AEF6}">
    <text>15. Ongoing Charges Figure</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 ref="B10" dT="2020-08-07T06:59:33.92" personId="{A4396B54-26D6-4DB8-90A1-70B73ABD3ACC}" id="{693A21C3-B684-4F83-8F88-788AD98B6C01}">
    <text>15. Ongoing Charges Figure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0-06-12T12:38:54.75" personId="{A4396B54-26D6-4DB8-90A1-70B73ABD3ACC}" id="{19782BDC-3516-452A-A148-93276D8F4BBB}">
    <text>Uit 22. Portfolio Turnover Rate</text>
  </threadedComment>
  <threadedComment ref="B10" dT="2020-08-07T06:59:33.92" personId="{A4396B54-26D6-4DB8-90A1-70B73ABD3ACC}" id="{5EB2339F-A6A8-4B4E-96BF-9F4706E8D87F}">
    <text>15. Ongoing Charges Figure</text>
  </threadedComment>
</ThreadedComments>
</file>

<file path=xl/threadedComments/threadedComment5.xml><?xml version="1.0" encoding="utf-8"?>
<ThreadedComments xmlns="http://schemas.microsoft.com/office/spreadsheetml/2018/threadedcomments" xmlns:x="http://schemas.openxmlformats.org/spreadsheetml/2006/main">
  <threadedComment ref="B6" dT="2020-06-12T12:38:54.75" personId="{A4396B54-26D6-4DB8-90A1-70B73ABD3ACC}" id="{946B1519-DCF6-4AB0-8F53-062031767B1C}">
    <text>Uit 22. Portfolio Turnover Rate</text>
  </threadedComment>
  <threadedComment ref="B10" dT="2020-08-07T06:59:33.92" personId="{A4396B54-26D6-4DB8-90A1-70B73ABD3ACC}" id="{47B9A23D-4E39-4E7F-9EA4-13DC84F4C570}">
    <text>15. Ongoing Charges Figure</text>
  </threadedComment>
</ThreadedComments>
</file>

<file path=xl/threadedComments/threadedComment6.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1" dT="2020-06-17T17:48:02.75" personId="{A4396B54-26D6-4DB8-90A1-70B73ABD3ACC}" id="{05F2B683-9025-489A-BD44-3439A44FEE41}">
    <text>"Net assets attributable to holders of redeemable participating
units" genomen uit "STATEMENT OF FINANCIAL POSITION"</text>
  </threadedComment>
  <threadedComment ref="B17" dT="2020-06-17T17:48:02.75" personId="{A4396B54-26D6-4DB8-90A1-70B73ABD3ACC}" id="{25E7F969-6049-4206-AFF3-7E77554C6FC1}">
    <text>"Net assets attributable to holders of redeemable participating
units" genomen uit "STATEMENT OF FINANCIAL POSITION"</text>
  </threadedComment>
  <threadedComment ref="B23" dT="2020-06-17T17:48:02.75" personId="{A4396B54-26D6-4DB8-90A1-70B73ABD3ACC}" id="{9B2ABA78-5EA9-4DFE-93AE-E8B1C32AF4D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 Id="rId4" Type="http://schemas.microsoft.com/office/2017/10/relationships/threadedComment" Target="../threadedComments/threadedComment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1" sqref="B31"/>
    </sheetView>
  </sheetViews>
  <sheetFormatPr defaultRowHeight="15" x14ac:dyDescent="0.25"/>
  <cols>
    <col min="2" max="2" width="114.28515625" customWidth="1"/>
  </cols>
  <sheetData>
    <row r="2" spans="2:2" x14ac:dyDescent="0.25">
      <c r="B2" s="1" t="s">
        <v>25</v>
      </c>
    </row>
    <row r="3" spans="2:2" x14ac:dyDescent="0.25">
      <c r="B3" s="9" t="s">
        <v>31</v>
      </c>
    </row>
    <row r="4" spans="2:2" x14ac:dyDescent="0.25">
      <c r="B4" s="9" t="s">
        <v>4</v>
      </c>
    </row>
    <row r="5" spans="2:2" x14ac:dyDescent="0.25">
      <c r="B5" s="9" t="s">
        <v>5</v>
      </c>
    </row>
    <row r="6" spans="2:2" x14ac:dyDescent="0.25">
      <c r="B6" s="26" t="s">
        <v>6</v>
      </c>
    </row>
    <row r="7" spans="2:2" x14ac:dyDescent="0.25">
      <c r="B7" s="26" t="s">
        <v>0</v>
      </c>
    </row>
    <row r="8" spans="2:2" x14ac:dyDescent="0.25">
      <c r="B8" s="9"/>
    </row>
    <row r="9" spans="2:2" x14ac:dyDescent="0.25">
      <c r="B9" s="42" t="s">
        <v>34</v>
      </c>
    </row>
    <row r="10" spans="2:2" x14ac:dyDescent="0.25">
      <c r="B10" s="42"/>
    </row>
    <row r="11" spans="2:2" x14ac:dyDescent="0.25">
      <c r="B11" s="42"/>
    </row>
    <row r="12" spans="2:2" x14ac:dyDescent="0.25">
      <c r="B12" s="16"/>
    </row>
    <row r="13" spans="2:2" x14ac:dyDescent="0.25">
      <c r="B13" s="2" t="s">
        <v>14</v>
      </c>
    </row>
    <row r="14" spans="2:2" x14ac:dyDescent="0.25">
      <c r="B14" s="2" t="s">
        <v>35</v>
      </c>
    </row>
    <row r="15" spans="2:2" x14ac:dyDescent="0.25">
      <c r="B15" s="2" t="s">
        <v>36</v>
      </c>
    </row>
    <row r="16" spans="2:2" x14ac:dyDescent="0.25">
      <c r="B16" s="2"/>
    </row>
    <row r="17" spans="2:2" x14ac:dyDescent="0.25">
      <c r="B17" s="2" t="s">
        <v>29</v>
      </c>
    </row>
    <row r="18" spans="2:2" x14ac:dyDescent="0.25">
      <c r="B18" s="2" t="s">
        <v>111</v>
      </c>
    </row>
    <row r="19" spans="2:2" x14ac:dyDescent="0.25">
      <c r="B19" s="2" t="s">
        <v>28</v>
      </c>
    </row>
    <row r="21" spans="2:2" x14ac:dyDescent="0.25">
      <c r="B21" s="2" t="s">
        <v>30</v>
      </c>
    </row>
    <row r="22" spans="2:2" x14ac:dyDescent="0.25">
      <c r="B22" s="2"/>
    </row>
    <row r="23" spans="2:2" x14ac:dyDescent="0.25">
      <c r="B23" s="2" t="s">
        <v>32</v>
      </c>
    </row>
    <row r="24" spans="2:2" x14ac:dyDescent="0.25">
      <c r="B24" s="2"/>
    </row>
    <row r="25" spans="2:2" x14ac:dyDescent="0.25">
      <c r="B25" s="2" t="s">
        <v>40</v>
      </c>
    </row>
    <row r="26" spans="2:2" x14ac:dyDescent="0.25">
      <c r="B26" s="2" t="s">
        <v>33</v>
      </c>
    </row>
    <row r="28" spans="2:2" x14ac:dyDescent="0.25">
      <c r="B28" s="2" t="s">
        <v>48</v>
      </c>
    </row>
    <row r="29" spans="2:2" x14ac:dyDescent="0.25">
      <c r="B29" s="2"/>
    </row>
    <row r="30" spans="2:2" x14ac:dyDescent="0.25">
      <c r="B30" s="2" t="s">
        <v>112</v>
      </c>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L16"/>
  <sheetViews>
    <sheetView workbookViewId="0">
      <selection activeCell="L8" sqref="L8"/>
    </sheetView>
  </sheetViews>
  <sheetFormatPr defaultRowHeight="15" x14ac:dyDescent="0.25"/>
  <cols>
    <col min="2" max="2" width="20.140625" customWidth="1"/>
    <col min="3" max="3" width="14" customWidth="1"/>
    <col min="6" max="6" width="11.140625" customWidth="1"/>
    <col min="7" max="7" width="15.42578125" customWidth="1"/>
    <col min="8" max="8" width="13.7109375" bestFit="1" customWidth="1"/>
  </cols>
  <sheetData>
    <row r="2" spans="2:12" x14ac:dyDescent="0.25">
      <c r="B2" t="s">
        <v>65</v>
      </c>
      <c r="C2" s="28">
        <v>53732257.130000003</v>
      </c>
    </row>
    <row r="3" spans="2:12" x14ac:dyDescent="0.25">
      <c r="C3" s="28"/>
    </row>
    <row r="4" spans="2:12" x14ac:dyDescent="0.25">
      <c r="C4" s="28"/>
      <c r="G4" t="s">
        <v>75</v>
      </c>
      <c r="K4" t="s">
        <v>76</v>
      </c>
    </row>
    <row r="5" spans="2:12" x14ac:dyDescent="0.25">
      <c r="B5" t="s">
        <v>66</v>
      </c>
      <c r="C5" s="28">
        <v>41819772.990000002</v>
      </c>
      <c r="F5" t="s">
        <v>72</v>
      </c>
      <c r="G5" s="7">
        <v>5.5E-2</v>
      </c>
      <c r="H5" s="30">
        <f>C5*(100%-G5)</f>
        <v>39519685.475550003</v>
      </c>
      <c r="I5" s="31">
        <f>H5/$H$8</f>
        <v>0.79995450026850634</v>
      </c>
      <c r="K5" s="4">
        <f>World!C28</f>
        <v>2.7658110617113322E-3</v>
      </c>
      <c r="L5" s="6">
        <f>I5*K5</f>
        <v>2.2125230057083957E-3</v>
      </c>
    </row>
    <row r="6" spans="2:12" x14ac:dyDescent="0.25">
      <c r="B6" t="s">
        <v>67</v>
      </c>
      <c r="C6" s="28">
        <v>5480574.1299999999</v>
      </c>
      <c r="F6" t="s">
        <v>73</v>
      </c>
      <c r="G6" s="7">
        <v>0.17699999999999999</v>
      </c>
      <c r="H6" s="30">
        <f>C6*(100%-G6)</f>
        <v>4510512.50899</v>
      </c>
      <c r="I6" s="31">
        <f t="shared" ref="I6:I7" si="0">H6/$H$8</f>
        <v>9.1301454874084517E-2</v>
      </c>
      <c r="K6" s="4">
        <f>Emerging!C21</f>
        <v>3.3884138967802441E-3</v>
      </c>
      <c r="L6" s="6">
        <f t="shared" ref="L6:L7" si="1">I6*K6</f>
        <v>3.0936711849160233E-4</v>
      </c>
    </row>
    <row r="7" spans="2:12" x14ac:dyDescent="0.25">
      <c r="B7" t="s">
        <v>68</v>
      </c>
      <c r="C7" s="28">
        <v>5789028.6699999999</v>
      </c>
      <c r="F7" t="s">
        <v>74</v>
      </c>
      <c r="G7" s="7">
        <v>7.1999999999999995E-2</v>
      </c>
      <c r="H7" s="30">
        <f>C7*(100%-G7)</f>
        <v>5372218.6057600006</v>
      </c>
      <c r="I7" s="31">
        <f t="shared" si="0"/>
        <v>0.10874404485740921</v>
      </c>
      <c r="K7" s="4">
        <f>SmallCaps!C21</f>
        <v>3.9817641220565667E-3</v>
      </c>
      <c r="L7" s="6">
        <f t="shared" si="1"/>
        <v>4.3299313630054188E-4</v>
      </c>
    </row>
    <row r="8" spans="2:12" ht="15.75" thickBot="1" x14ac:dyDescent="0.3">
      <c r="B8" t="s">
        <v>69</v>
      </c>
      <c r="C8" s="28">
        <v>642881.34999999963</v>
      </c>
      <c r="D8" t="s">
        <v>70</v>
      </c>
      <c r="H8" s="30">
        <f>SUM(H5:H7)</f>
        <v>49402416.590300001</v>
      </c>
      <c r="L8" s="6">
        <f>SUM(L5:L7)</f>
        <v>2.9548832605005401E-3</v>
      </c>
    </row>
    <row r="9" spans="2:12" ht="15.75" thickTop="1" x14ac:dyDescent="0.25">
      <c r="B9" s="27" t="s">
        <v>71</v>
      </c>
      <c r="C9" s="29">
        <f>SUM(C5:C8)</f>
        <v>53732257.140000008</v>
      </c>
      <c r="H9" s="25">
        <f>SUM(H5:H7)/C2</f>
        <v>0.91941822713264454</v>
      </c>
    </row>
    <row r="11" spans="2:12" x14ac:dyDescent="0.25">
      <c r="G11" t="s">
        <v>75</v>
      </c>
    </row>
    <row r="12" spans="2:12" x14ac:dyDescent="0.25">
      <c r="F12" t="s">
        <v>72</v>
      </c>
      <c r="G12" s="7">
        <v>5.5E-2</v>
      </c>
      <c r="H12" s="30">
        <f>C5*(100%-G12)</f>
        <v>39519685.475550003</v>
      </c>
    </row>
    <row r="13" spans="2:12" x14ac:dyDescent="0.25">
      <c r="F13" t="s">
        <v>74</v>
      </c>
      <c r="G13" s="7">
        <v>7.1999999999999995E-2</v>
      </c>
      <c r="H13" s="30">
        <f>C7*(100%-G13)</f>
        <v>5372218.6057600006</v>
      </c>
    </row>
    <row r="16" spans="2:12" x14ac:dyDescent="0.25">
      <c r="H16" s="25">
        <f>SUM(H12:H13)/C2</f>
        <v>0.83547400535768268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29"/>
  <sheetViews>
    <sheetView zoomScaleNormal="100" workbookViewId="0">
      <selection activeCell="B31" sqref="B31"/>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26</v>
      </c>
    </row>
    <row r="3" spans="2:10" x14ac:dyDescent="0.25">
      <c r="B3" t="s">
        <v>22</v>
      </c>
      <c r="J3" t="s">
        <v>56</v>
      </c>
    </row>
    <row r="4" spans="2:10" x14ac:dyDescent="0.25">
      <c r="C4" s="1">
        <v>2016</v>
      </c>
      <c r="D4" s="1">
        <v>2017</v>
      </c>
      <c r="E4" s="1">
        <v>2018</v>
      </c>
      <c r="F4" s="1">
        <v>2019</v>
      </c>
      <c r="G4" s="1"/>
      <c r="H4" s="1" t="s">
        <v>13</v>
      </c>
      <c r="J4" t="s">
        <v>80</v>
      </c>
    </row>
    <row r="5" spans="2:10" x14ac:dyDescent="0.25">
      <c r="B5" s="2" t="s">
        <v>1</v>
      </c>
      <c r="C5" s="13">
        <v>0</v>
      </c>
      <c r="D5" s="13">
        <v>0</v>
      </c>
      <c r="E5" s="13">
        <v>0</v>
      </c>
      <c r="F5" s="13">
        <v>22294</v>
      </c>
      <c r="G5" s="3"/>
      <c r="J5" t="s">
        <v>85</v>
      </c>
    </row>
    <row r="6" spans="2:10" x14ac:dyDescent="0.25">
      <c r="B6" s="2" t="s">
        <v>7</v>
      </c>
      <c r="C6" s="13">
        <v>607319449</v>
      </c>
      <c r="D6" s="13">
        <v>1151302913</v>
      </c>
      <c r="E6" s="13">
        <v>1781058053</v>
      </c>
      <c r="F6" s="13">
        <v>2673847808</v>
      </c>
      <c r="G6" s="3"/>
    </row>
    <row r="7" spans="2:10" x14ac:dyDescent="0.25">
      <c r="B7" s="2" t="s">
        <v>15</v>
      </c>
      <c r="C7" s="5">
        <f>C5/C6</f>
        <v>0</v>
      </c>
      <c r="D7" s="5">
        <f t="shared" ref="D7:F7" si="0">D5/D6</f>
        <v>0</v>
      </c>
      <c r="E7" s="5">
        <f t="shared" si="0"/>
        <v>0</v>
      </c>
      <c r="F7" s="5">
        <f t="shared" si="0"/>
        <v>8.3377969132340379E-6</v>
      </c>
      <c r="G7" s="5"/>
      <c r="H7" s="6"/>
      <c r="I7" s="4"/>
      <c r="J7" t="s">
        <v>41</v>
      </c>
    </row>
    <row r="8" spans="2:10" ht="15" customHeight="1" x14ac:dyDescent="0.25">
      <c r="B8" s="2" t="s">
        <v>16</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27</v>
      </c>
      <c r="C9" s="5">
        <f>SUM(C7:C8)</f>
        <v>1.3528648432442348E-4</v>
      </c>
      <c r="D9" s="5">
        <f t="shared" ref="D9:F9" si="1">SUM(D7:D8)</f>
        <v>4.4782844092559127E-5</v>
      </c>
      <c r="E9" s="5">
        <f t="shared" si="1"/>
        <v>4.2300110328596436E-5</v>
      </c>
      <c r="F9" s="5">
        <f t="shared" si="1"/>
        <v>5.4467832522977523E-5</v>
      </c>
      <c r="G9" s="5"/>
      <c r="H9" s="7">
        <f>AVERAGE(C9:G9)</f>
        <v>6.920931781713915E-5</v>
      </c>
      <c r="J9" t="s">
        <v>82</v>
      </c>
    </row>
    <row r="10" spans="2:10" x14ac:dyDescent="0.25">
      <c r="B10" s="2" t="s">
        <v>106</v>
      </c>
      <c r="C10" s="4">
        <v>2.9999999999999997E-4</v>
      </c>
      <c r="D10" s="4">
        <v>2.9999999999999997E-4</v>
      </c>
      <c r="E10" s="4">
        <v>1.1999999999999999E-3</v>
      </c>
      <c r="F10" s="4">
        <v>1.5E-3</v>
      </c>
      <c r="G10" s="5"/>
      <c r="H10" s="7">
        <f t="shared" ref="H10" si="2">AVERAGE(C10:F10)</f>
        <v>8.25E-4</v>
      </c>
      <c r="J10" t="s">
        <v>81</v>
      </c>
    </row>
    <row r="11" spans="2:10" x14ac:dyDescent="0.25">
      <c r="B11" s="2"/>
      <c r="C11" s="4"/>
      <c r="D11" s="4"/>
      <c r="E11" s="4"/>
      <c r="F11" s="4"/>
      <c r="G11" s="5"/>
      <c r="H11" s="7"/>
    </row>
    <row r="12" spans="2:10" x14ac:dyDescent="0.25">
      <c r="B12" s="2" t="s">
        <v>102</v>
      </c>
      <c r="C12" s="17">
        <v>159521</v>
      </c>
      <c r="D12" s="17">
        <f>323257-D5</f>
        <v>323257</v>
      </c>
      <c r="E12" s="17">
        <f>2280765-E5</f>
        <v>2280765</v>
      </c>
      <c r="F12" s="17">
        <f>3265001-F5</f>
        <v>3242707</v>
      </c>
      <c r="G12" s="5"/>
      <c r="H12" s="7"/>
      <c r="J12" s="1" t="s">
        <v>58</v>
      </c>
    </row>
    <row r="13" spans="2:10" x14ac:dyDescent="0.25">
      <c r="B13" s="2" t="s">
        <v>47</v>
      </c>
      <c r="C13" s="17">
        <v>1794</v>
      </c>
      <c r="D13" s="17">
        <v>4996</v>
      </c>
      <c r="E13" s="17">
        <v>7109</v>
      </c>
      <c r="F13" s="17">
        <v>31761</v>
      </c>
      <c r="G13" s="5"/>
      <c r="H13" s="7"/>
      <c r="J13" t="s">
        <v>59</v>
      </c>
    </row>
    <row r="14" spans="2:10" x14ac:dyDescent="0.25">
      <c r="B14" s="2" t="s">
        <v>107</v>
      </c>
      <c r="C14" s="4">
        <f>C12/C6</f>
        <v>2.6266407285764366E-4</v>
      </c>
      <c r="D14" s="4">
        <f t="shared" ref="D14:F14" si="3">D12/D6</f>
        <v>2.8077493451108816E-4</v>
      </c>
      <c r="E14" s="4">
        <f t="shared" si="3"/>
        <v>1.2805674672750266E-3</v>
      </c>
      <c r="F14" s="4">
        <f t="shared" si="3"/>
        <v>1.212749278510918E-3</v>
      </c>
      <c r="G14" s="5"/>
      <c r="H14" s="7">
        <f>AVERAGE(C14:F14)</f>
        <v>7.5918893828866914E-4</v>
      </c>
      <c r="J14" t="s">
        <v>60</v>
      </c>
    </row>
    <row r="15" spans="2:10" ht="15" customHeight="1" x14ac:dyDescent="0.25">
      <c r="B15" s="2" t="s">
        <v>108</v>
      </c>
      <c r="C15" s="4">
        <f>(C12+C13)/C6</f>
        <v>2.6561803720532586E-4</v>
      </c>
      <c r="D15" s="4">
        <f t="shared" ref="D15:F15" si="4">(D12+D13)/D6</f>
        <v>2.8511436590102676E-4</v>
      </c>
      <c r="E15" s="4">
        <f t="shared" si="4"/>
        <v>1.2845589149361658E-3</v>
      </c>
      <c r="F15" s="4">
        <f t="shared" si="4"/>
        <v>1.2246276658690067E-3</v>
      </c>
      <c r="G15" s="5"/>
      <c r="H15" s="7">
        <f>AVERAGE(C15:F15)</f>
        <v>7.649797459778813E-4</v>
      </c>
      <c r="J15" t="s">
        <v>78</v>
      </c>
    </row>
    <row r="16" spans="2:10" ht="15" customHeight="1" x14ac:dyDescent="0.25">
      <c r="B16" s="2"/>
      <c r="C16" s="4"/>
      <c r="D16" s="4"/>
      <c r="E16" s="4"/>
      <c r="F16" s="4"/>
      <c r="G16" s="5"/>
      <c r="H16" s="7"/>
    </row>
    <row r="17" spans="2:10" ht="15" customHeight="1" x14ac:dyDescent="0.25">
      <c r="B17" s="2"/>
      <c r="D17" s="5"/>
      <c r="E17" s="5"/>
      <c r="F17" s="5"/>
      <c r="G17" s="5"/>
      <c r="H17" s="6"/>
      <c r="J17" t="s">
        <v>79</v>
      </c>
    </row>
    <row r="18" spans="2:10" x14ac:dyDescent="0.25">
      <c r="B18" s="2" t="s">
        <v>21</v>
      </c>
      <c r="C18" s="7">
        <f>H9+H14</f>
        <v>8.2839825610580827E-4</v>
      </c>
      <c r="D18" s="5" t="s">
        <v>77</v>
      </c>
      <c r="E18" s="5"/>
      <c r="F18" s="5"/>
      <c r="G18" s="5"/>
      <c r="H18" s="6"/>
      <c r="J18" t="s">
        <v>90</v>
      </c>
    </row>
    <row r="19" spans="2:10" x14ac:dyDescent="0.25">
      <c r="B19" s="2" t="s">
        <v>55</v>
      </c>
      <c r="C19" s="4">
        <f>'Tracking Difference'!J7/100</f>
        <v>2.0250000000000012E-3</v>
      </c>
      <c r="D19" s="5" t="s">
        <v>77</v>
      </c>
      <c r="E19" s="5"/>
      <c r="F19" s="5"/>
      <c r="G19" s="5"/>
      <c r="H19" s="6"/>
      <c r="J19" t="s">
        <v>89</v>
      </c>
    </row>
    <row r="20" spans="2:10" x14ac:dyDescent="0.25">
      <c r="B20" s="2" t="s">
        <v>57</v>
      </c>
      <c r="C20" s="4">
        <f>C19-C18</f>
        <v>1.196601743894193E-3</v>
      </c>
      <c r="D20" s="5" t="s">
        <v>77</v>
      </c>
      <c r="E20" s="5"/>
      <c r="F20" s="5"/>
      <c r="G20" s="5"/>
      <c r="H20" s="6"/>
    </row>
    <row r="21" spans="2:10" x14ac:dyDescent="0.25">
      <c r="B21" s="2"/>
      <c r="C21" s="4"/>
      <c r="D21" s="5"/>
      <c r="E21" s="5"/>
      <c r="F21" s="5"/>
      <c r="G21" s="5"/>
      <c r="H21" s="6"/>
    </row>
    <row r="22" spans="2:10" x14ac:dyDescent="0.25">
      <c r="B22" s="2" t="s">
        <v>21</v>
      </c>
      <c r="C22" s="7">
        <f>AVERAGE(E14:F14)+AVERAGE(E9:F9)</f>
        <v>1.2950423443187594E-3</v>
      </c>
      <c r="D22" s="5" t="s">
        <v>84</v>
      </c>
      <c r="E22" s="5"/>
      <c r="F22" s="5"/>
      <c r="G22" s="5"/>
      <c r="H22" s="6"/>
    </row>
    <row r="23" spans="2:10" x14ac:dyDescent="0.25">
      <c r="B23" s="2" t="s">
        <v>55</v>
      </c>
      <c r="C23" s="4">
        <f>'Tracking Difference'!M7/100</f>
        <v>2.1000000000000085E-3</v>
      </c>
      <c r="D23" s="5" t="s">
        <v>84</v>
      </c>
      <c r="E23" s="5"/>
      <c r="F23" s="5"/>
      <c r="G23" s="5"/>
      <c r="H23" s="6"/>
    </row>
    <row r="24" spans="2:10" x14ac:dyDescent="0.25">
      <c r="B24" s="2" t="s">
        <v>57</v>
      </c>
      <c r="C24" s="4">
        <f>C23-C22</f>
        <v>8.0495765568124912E-4</v>
      </c>
      <c r="D24" s="5" t="s">
        <v>84</v>
      </c>
      <c r="E24" s="5"/>
      <c r="F24" s="5"/>
      <c r="G24" s="5"/>
      <c r="H24" s="6"/>
    </row>
    <row r="25" spans="2:10" x14ac:dyDescent="0.25">
      <c r="B25" s="2"/>
      <c r="C25" s="4"/>
      <c r="D25" s="5"/>
      <c r="E25" s="5"/>
      <c r="F25" s="5"/>
      <c r="G25" s="5"/>
      <c r="H25" s="6"/>
    </row>
    <row r="26" spans="2:10" x14ac:dyDescent="0.25">
      <c r="B26" s="1" t="s">
        <v>20</v>
      </c>
      <c r="C26" s="32">
        <f>F10+H9</f>
        <v>1.5692093178171392E-3</v>
      </c>
      <c r="D26" s="5" t="s">
        <v>109</v>
      </c>
      <c r="E26" s="5"/>
      <c r="F26" s="5"/>
      <c r="G26" s="5"/>
      <c r="H26" s="6"/>
      <c r="I26" s="6"/>
    </row>
    <row r="28" spans="2:10" x14ac:dyDescent="0.25">
      <c r="B28" s="1" t="s">
        <v>61</v>
      </c>
      <c r="C28" s="32">
        <f>C26+C20</f>
        <v>2.7658110617113322E-3</v>
      </c>
      <c r="D28" t="s">
        <v>87</v>
      </c>
    </row>
    <row r="29" spans="2:10" x14ac:dyDescent="0.25">
      <c r="B29" s="1" t="s">
        <v>61</v>
      </c>
      <c r="C29" s="32">
        <f>C26+C24</f>
        <v>2.3741669734983883E-3</v>
      </c>
      <c r="D29" t="s">
        <v>88</v>
      </c>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21"/>
  <sheetViews>
    <sheetView zoomScaleNormal="100" workbookViewId="0">
      <selection activeCell="J11" sqref="J11"/>
    </sheetView>
  </sheetViews>
  <sheetFormatPr defaultRowHeight="15" x14ac:dyDescent="0.25"/>
  <cols>
    <col min="2" max="2" width="33.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26</v>
      </c>
    </row>
    <row r="3" spans="2:10" x14ac:dyDescent="0.25">
      <c r="B3" s="2" t="s">
        <v>23</v>
      </c>
      <c r="J3" t="s">
        <v>63</v>
      </c>
    </row>
    <row r="4" spans="2:10" x14ac:dyDescent="0.25">
      <c r="B4" s="2"/>
      <c r="C4" s="1">
        <v>2016</v>
      </c>
      <c r="D4" s="1">
        <v>2017</v>
      </c>
      <c r="E4" s="1">
        <v>2018</v>
      </c>
      <c r="F4" s="1">
        <v>2019</v>
      </c>
      <c r="G4" s="1"/>
      <c r="H4" s="1" t="s">
        <v>13</v>
      </c>
      <c r="J4" t="s">
        <v>41</v>
      </c>
    </row>
    <row r="5" spans="2:10" x14ac:dyDescent="0.25">
      <c r="B5" s="2" t="s">
        <v>1</v>
      </c>
      <c r="C5" s="3">
        <v>48346</v>
      </c>
      <c r="D5" s="3">
        <v>276690</v>
      </c>
      <c r="E5" s="3">
        <v>234574</v>
      </c>
      <c r="F5" s="3">
        <v>672683</v>
      </c>
      <c r="G5" s="3"/>
    </row>
    <row r="6" spans="2:10" x14ac:dyDescent="0.25">
      <c r="B6" s="2" t="s">
        <v>7</v>
      </c>
      <c r="C6" s="3">
        <v>72832569</v>
      </c>
      <c r="D6" s="3">
        <v>280855994</v>
      </c>
      <c r="E6" s="3">
        <v>798617793</v>
      </c>
      <c r="F6" s="3">
        <v>1521930963</v>
      </c>
      <c r="G6" s="3"/>
      <c r="J6" t="s">
        <v>82</v>
      </c>
    </row>
    <row r="7" spans="2:10" x14ac:dyDescent="0.25">
      <c r="B7" s="2" t="s">
        <v>8</v>
      </c>
      <c r="C7" s="4">
        <f>C5/C6</f>
        <v>6.6379643974936542E-4</v>
      </c>
      <c r="D7" s="4">
        <f t="shared" ref="D7:F7" si="0">D5/D6</f>
        <v>9.8516679690304203E-4</v>
      </c>
      <c r="E7" s="4">
        <f t="shared" si="0"/>
        <v>2.9372498591450741E-4</v>
      </c>
      <c r="F7" s="4">
        <f t="shared" si="0"/>
        <v>4.4199311030115364E-4</v>
      </c>
      <c r="G7" s="5"/>
      <c r="H7" s="7">
        <f>AVERAGE(C7:F7)</f>
        <v>5.9617033321701716E-4</v>
      </c>
      <c r="I7" s="4"/>
    </row>
    <row r="8" spans="2:10" ht="15" customHeight="1" x14ac:dyDescent="0.25">
      <c r="B8" s="2" t="s">
        <v>106</v>
      </c>
      <c r="C8" s="7">
        <v>2.8E-3</v>
      </c>
      <c r="D8" s="7">
        <v>2E-3</v>
      </c>
      <c r="E8" s="7">
        <v>2.5000000000000001E-3</v>
      </c>
      <c r="F8" s="7">
        <v>2.5000000000000001E-3</v>
      </c>
      <c r="G8" s="3"/>
      <c r="H8" s="7">
        <f>AVERAGE(C8:F8)</f>
        <v>2.4500000000000004E-3</v>
      </c>
      <c r="J8" t="s">
        <v>64</v>
      </c>
    </row>
    <row r="9" spans="2:10" ht="15" customHeight="1" x14ac:dyDescent="0.25">
      <c r="B9" s="2"/>
      <c r="C9" s="7"/>
      <c r="D9" s="7"/>
      <c r="E9" s="7"/>
      <c r="F9" s="7"/>
      <c r="G9" s="3"/>
      <c r="H9" s="7"/>
    </row>
    <row r="10" spans="2:10" x14ac:dyDescent="0.25">
      <c r="B10" s="2" t="s">
        <v>102</v>
      </c>
      <c r="C10" s="3">
        <f>252128-C5</f>
        <v>203782</v>
      </c>
      <c r="D10" s="3">
        <f>842623-D5</f>
        <v>565933</v>
      </c>
      <c r="E10" s="3">
        <f>2541872-E5</f>
        <v>2307298</v>
      </c>
      <c r="F10" s="3">
        <f>4524697-F5</f>
        <v>3852014</v>
      </c>
      <c r="G10" s="3"/>
      <c r="H10" s="7"/>
      <c r="J10" t="s">
        <v>113</v>
      </c>
    </row>
    <row r="11" spans="2:10" x14ac:dyDescent="0.25">
      <c r="B11" s="2" t="s">
        <v>47</v>
      </c>
      <c r="C11" s="3">
        <v>0</v>
      </c>
      <c r="D11" s="3">
        <v>35778</v>
      </c>
      <c r="E11" s="3">
        <v>15306</v>
      </c>
      <c r="F11" s="3">
        <v>11676</v>
      </c>
      <c r="G11" s="3"/>
      <c r="H11" s="7"/>
    </row>
    <row r="12" spans="2:10" x14ac:dyDescent="0.25">
      <c r="B12" s="2" t="s">
        <v>107</v>
      </c>
      <c r="C12" s="4">
        <f>C10/C6</f>
        <v>2.7979515592811231E-3</v>
      </c>
      <c r="D12" s="4">
        <f>D10/D6</f>
        <v>2.0150290970824001E-3</v>
      </c>
      <c r="E12" s="4">
        <f t="shared" ref="E12:F12" si="1">E10/E6</f>
        <v>2.8891141923255395E-3</v>
      </c>
      <c r="F12" s="4">
        <f t="shared" si="1"/>
        <v>2.5310044237532212E-3</v>
      </c>
      <c r="G12" s="3"/>
      <c r="H12" s="7">
        <f>AVERAGE(C12:F12)</f>
        <v>2.5582748181105712E-3</v>
      </c>
    </row>
    <row r="13" spans="2:10" x14ac:dyDescent="0.25">
      <c r="B13" s="2" t="s">
        <v>108</v>
      </c>
      <c r="C13" s="4">
        <f>(C10+C11)/C6</f>
        <v>2.7979515592811231E-3</v>
      </c>
      <c r="D13" s="4">
        <f t="shared" ref="D13:F13" si="2">(D10+D11)/D6</f>
        <v>2.142418224479838E-3</v>
      </c>
      <c r="E13" s="4">
        <f t="shared" si="2"/>
        <v>2.9082798058820609E-3</v>
      </c>
      <c r="F13" s="4">
        <f t="shared" si="2"/>
        <v>2.5386762566312281E-3</v>
      </c>
      <c r="G13" s="3"/>
      <c r="H13" s="7">
        <f>AVERAGE(C13:F13)</f>
        <v>2.5968314615685624E-3</v>
      </c>
    </row>
    <row r="14" spans="2:10" x14ac:dyDescent="0.25">
      <c r="B14" s="2"/>
      <c r="C14" s="4"/>
      <c r="D14" s="4"/>
      <c r="E14" s="4"/>
      <c r="F14" s="4"/>
      <c r="G14" s="3"/>
      <c r="H14" s="7"/>
    </row>
    <row r="15" spans="2:10" x14ac:dyDescent="0.25">
      <c r="B15" s="2"/>
      <c r="C15" s="7"/>
      <c r="D15" s="7"/>
      <c r="E15" s="7"/>
      <c r="F15" s="7"/>
      <c r="G15" s="3"/>
      <c r="H15" s="6"/>
    </row>
    <row r="16" spans="2:10" ht="15" customHeight="1" x14ac:dyDescent="0.25">
      <c r="B16" s="2" t="s">
        <v>21</v>
      </c>
      <c r="C16" s="33">
        <f>H7+H12</f>
        <v>3.1544451513275881E-3</v>
      </c>
      <c r="D16" t="s">
        <v>77</v>
      </c>
    </row>
    <row r="17" spans="2:8" ht="15" customHeight="1" x14ac:dyDescent="0.25">
      <c r="B17" s="2" t="s">
        <v>55</v>
      </c>
      <c r="C17" s="33">
        <f>'Tracking Difference'!J14/100</f>
        <v>3.6750000000000016E-3</v>
      </c>
      <c r="D17" t="s">
        <v>77</v>
      </c>
    </row>
    <row r="18" spans="2:8" ht="15" customHeight="1" x14ac:dyDescent="0.25">
      <c r="B18" s="2" t="s">
        <v>57</v>
      </c>
      <c r="C18" s="33">
        <f>C17-C16</f>
        <v>5.2055484867241349E-4</v>
      </c>
      <c r="D18" s="5"/>
    </row>
    <row r="19" spans="2:8" ht="15" customHeight="1" x14ac:dyDescent="0.25">
      <c r="B19" s="2"/>
      <c r="C19" s="33"/>
    </row>
    <row r="20" spans="2:8" ht="15" customHeight="1" x14ac:dyDescent="0.25">
      <c r="B20" s="1" t="s">
        <v>20</v>
      </c>
      <c r="C20" s="32">
        <f>F8+AVERAGE(E7:F7)</f>
        <v>2.8678590481078306E-3</v>
      </c>
      <c r="D20" s="5" t="s">
        <v>109</v>
      </c>
    </row>
    <row r="21" spans="2:8" x14ac:dyDescent="0.25">
      <c r="B21" s="1" t="s">
        <v>61</v>
      </c>
      <c r="C21" s="32">
        <f>C20+C18</f>
        <v>3.3884138967802441E-3</v>
      </c>
      <c r="D21" t="s">
        <v>62</v>
      </c>
      <c r="E21" s="5"/>
      <c r="F21" s="5"/>
      <c r="G21" s="5"/>
      <c r="H21" s="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2"/>
  <sheetViews>
    <sheetView zoomScaleNormal="100" workbookViewId="0">
      <selection activeCell="C21" sqref="C21"/>
    </sheetView>
  </sheetViews>
  <sheetFormatPr defaultRowHeight="15" x14ac:dyDescent="0.25"/>
  <cols>
    <col min="2" max="2" width="31"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v>
      </c>
      <c r="C2" s="10"/>
      <c r="D2" s="10"/>
      <c r="E2" s="10"/>
      <c r="F2" s="10"/>
      <c r="G2" s="10"/>
      <c r="H2" s="10"/>
      <c r="J2" s="1" t="s">
        <v>26</v>
      </c>
    </row>
    <row r="3" spans="2:10" x14ac:dyDescent="0.25">
      <c r="B3" t="s">
        <v>24</v>
      </c>
    </row>
    <row r="4" spans="2:10" x14ac:dyDescent="0.25">
      <c r="C4" s="1">
        <v>2016</v>
      </c>
      <c r="D4" s="1">
        <v>2017</v>
      </c>
      <c r="E4" s="1">
        <v>2018</v>
      </c>
      <c r="F4" s="1">
        <v>2019</v>
      </c>
      <c r="G4" s="1"/>
      <c r="H4" s="1" t="s">
        <v>13</v>
      </c>
      <c r="J4" t="s">
        <v>83</v>
      </c>
    </row>
    <row r="5" spans="2:10" x14ac:dyDescent="0.25">
      <c r="B5" s="2" t="s">
        <v>1</v>
      </c>
      <c r="C5" s="3"/>
      <c r="D5" s="3"/>
      <c r="E5" s="3"/>
      <c r="F5" s="3">
        <v>2131</v>
      </c>
      <c r="G5" s="3"/>
    </row>
    <row r="6" spans="2:10" x14ac:dyDescent="0.25">
      <c r="B6" s="2" t="s">
        <v>7</v>
      </c>
      <c r="C6" s="3"/>
      <c r="D6" s="3"/>
      <c r="E6" s="3"/>
      <c r="F6" s="3">
        <v>134685073</v>
      </c>
      <c r="G6" s="3"/>
    </row>
    <row r="7" spans="2:10" x14ac:dyDescent="0.25">
      <c r="B7" s="2" t="s">
        <v>8</v>
      </c>
      <c r="D7" s="4"/>
      <c r="E7" s="4"/>
      <c r="F7" s="5">
        <f>F5/F6</f>
        <v>1.582209485085255E-5</v>
      </c>
      <c r="G7" s="5"/>
      <c r="H7" s="7">
        <f>AVERAGE(F7)</f>
        <v>1.582209485085255E-5</v>
      </c>
      <c r="I7" s="4"/>
    </row>
    <row r="8" spans="2:10" ht="15" customHeight="1" x14ac:dyDescent="0.25">
      <c r="B8" s="2" t="s">
        <v>16</v>
      </c>
      <c r="D8" s="4"/>
      <c r="E8" s="4"/>
      <c r="F8" s="4">
        <f>'Northern Trust Master fondsen'!G12</f>
        <v>8.9319673455790307E-4</v>
      </c>
      <c r="G8" s="5"/>
      <c r="H8" s="7">
        <f t="shared" ref="H8:H10" si="0">AVERAGE(F8)</f>
        <v>8.9319673455790307E-4</v>
      </c>
    </row>
    <row r="9" spans="2:10" ht="15" customHeight="1" x14ac:dyDescent="0.25">
      <c r="B9" s="2" t="s">
        <v>27</v>
      </c>
      <c r="D9" s="4"/>
      <c r="E9" s="4"/>
      <c r="F9" s="4">
        <f>SUM(F7:F8)</f>
        <v>9.0901882940875559E-4</v>
      </c>
      <c r="G9" s="5"/>
      <c r="H9" s="7"/>
    </row>
    <row r="10" spans="2:10" x14ac:dyDescent="0.25">
      <c r="B10" s="2" t="s">
        <v>106</v>
      </c>
      <c r="D10" s="3"/>
      <c r="E10" s="3"/>
      <c r="F10" s="7">
        <v>2.3E-3</v>
      </c>
      <c r="H10" s="7">
        <f t="shared" si="0"/>
        <v>2.3E-3</v>
      </c>
    </row>
    <row r="11" spans="2:10" x14ac:dyDescent="0.25">
      <c r="B11" s="2"/>
      <c r="D11" s="3"/>
      <c r="E11" s="3"/>
      <c r="F11" s="7"/>
      <c r="H11" s="7"/>
    </row>
    <row r="12" spans="2:10" x14ac:dyDescent="0.25">
      <c r="B12" s="2" t="s">
        <v>102</v>
      </c>
      <c r="D12" s="3"/>
      <c r="E12" s="3"/>
      <c r="F12" s="3">
        <f>108396-F5</f>
        <v>106265</v>
      </c>
      <c r="H12" s="7"/>
    </row>
    <row r="13" spans="2:10" x14ac:dyDescent="0.25">
      <c r="B13" s="2" t="s">
        <v>47</v>
      </c>
      <c r="D13" s="3"/>
      <c r="E13" s="3"/>
      <c r="F13" s="38">
        <v>1294</v>
      </c>
      <c r="H13" s="7"/>
    </row>
    <row r="14" spans="2:10" x14ac:dyDescent="0.25">
      <c r="B14" s="2" t="s">
        <v>107</v>
      </c>
      <c r="D14" s="3"/>
      <c r="E14" s="3"/>
      <c r="F14" s="4">
        <f>F12/F6</f>
        <v>7.889886951317909E-4</v>
      </c>
      <c r="H14" s="7"/>
    </row>
    <row r="15" spans="2:10" x14ac:dyDescent="0.25">
      <c r="B15" s="2" t="s">
        <v>108</v>
      </c>
      <c r="F15" s="4">
        <f>(F12+F13)/F6</f>
        <v>7.9859629284976521E-4</v>
      </c>
    </row>
    <row r="16" spans="2:10" x14ac:dyDescent="0.25">
      <c r="B16" s="2"/>
    </row>
    <row r="17" spans="2:8" x14ac:dyDescent="0.25">
      <c r="B17" s="2"/>
    </row>
    <row r="18" spans="2:8" x14ac:dyDescent="0.25">
      <c r="B18" s="2" t="s">
        <v>21</v>
      </c>
      <c r="C18" s="33">
        <f>SUM(H7:H10)</f>
        <v>3.2090188294087553E-3</v>
      </c>
    </row>
    <row r="19" spans="2:8" x14ac:dyDescent="0.25">
      <c r="B19" s="2" t="s">
        <v>20</v>
      </c>
      <c r="C19" s="14" t="s">
        <v>43</v>
      </c>
    </row>
    <row r="21" spans="2:8" ht="15" customHeight="1" x14ac:dyDescent="0.25">
      <c r="B21" s="1" t="s">
        <v>42</v>
      </c>
      <c r="C21" s="32">
        <f>F10+(75%*F9)+0.1%</f>
        <v>3.9817641220565667E-3</v>
      </c>
      <c r="D21" s="4"/>
      <c r="E21" s="4"/>
      <c r="F21" s="4"/>
      <c r="G21" s="5"/>
      <c r="H21" s="6"/>
    </row>
    <row r="22" spans="2:8" ht="15" customHeight="1" x14ac:dyDescent="0.25">
      <c r="B22" s="2"/>
      <c r="D22" s="5"/>
      <c r="E22" s="5"/>
      <c r="F22" s="5"/>
      <c r="G22" s="5"/>
      <c r="H22" s="6"/>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24"/>
  <sheetViews>
    <sheetView zoomScaleNormal="100" workbookViewId="0">
      <selection activeCell="D24" sqref="D24"/>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93</v>
      </c>
      <c r="C2" s="10"/>
      <c r="D2" s="10"/>
      <c r="E2" s="10"/>
      <c r="F2" s="10"/>
      <c r="G2" s="10"/>
      <c r="H2" s="10"/>
      <c r="J2" s="1" t="s">
        <v>26</v>
      </c>
    </row>
    <row r="3" spans="2:10" x14ac:dyDescent="0.25">
      <c r="B3" t="s">
        <v>101</v>
      </c>
      <c r="J3" t="s">
        <v>82</v>
      </c>
    </row>
    <row r="4" spans="2:10" x14ac:dyDescent="0.25">
      <c r="C4" s="1">
        <v>2016</v>
      </c>
      <c r="D4" s="1">
        <v>2017</v>
      </c>
      <c r="E4" s="1">
        <v>2018</v>
      </c>
      <c r="F4" s="1">
        <v>2019</v>
      </c>
      <c r="G4" s="1"/>
      <c r="H4" s="1" t="s">
        <v>13</v>
      </c>
    </row>
    <row r="5" spans="2:10" x14ac:dyDescent="0.25">
      <c r="B5" s="2" t="s">
        <v>1</v>
      </c>
      <c r="C5" s="13">
        <v>244</v>
      </c>
      <c r="D5" s="13">
        <v>200</v>
      </c>
      <c r="E5" s="13">
        <v>0</v>
      </c>
      <c r="F5" s="13">
        <v>151</v>
      </c>
      <c r="G5" s="3"/>
      <c r="J5" s="2" t="s">
        <v>110</v>
      </c>
    </row>
    <row r="6" spans="2:10" x14ac:dyDescent="0.25">
      <c r="B6" s="2" t="s">
        <v>7</v>
      </c>
      <c r="C6" s="13">
        <v>35377446</v>
      </c>
      <c r="D6" s="13">
        <v>337614438</v>
      </c>
      <c r="E6" s="13">
        <v>620074712</v>
      </c>
      <c r="F6" s="13">
        <v>1000756145</v>
      </c>
      <c r="G6" s="3"/>
    </row>
    <row r="7" spans="2:10" x14ac:dyDescent="0.25">
      <c r="B7" s="2" t="s">
        <v>15</v>
      </c>
      <c r="C7" s="5">
        <f>C5/C6</f>
        <v>6.8970496061247611E-6</v>
      </c>
      <c r="D7" s="5">
        <f t="shared" ref="D7:F7" si="0">D5/D6</f>
        <v>5.9239172703864047E-7</v>
      </c>
      <c r="E7" s="5">
        <f t="shared" si="0"/>
        <v>0</v>
      </c>
      <c r="F7" s="5">
        <f t="shared" si="0"/>
        <v>1.5088590837481192E-7</v>
      </c>
      <c r="G7" s="5"/>
      <c r="H7" s="6"/>
      <c r="I7" s="4"/>
    </row>
    <row r="8" spans="2:10" ht="15" customHeight="1" x14ac:dyDescent="0.25">
      <c r="B8" s="2" t="s">
        <v>16</v>
      </c>
      <c r="C8" s="5">
        <f>'Northern Trust Master fondsen'!D24</f>
        <v>1.4240200701548999E-4</v>
      </c>
      <c r="D8" s="5">
        <f>'Northern Trust Master fondsen'!E24</f>
        <v>1.8879294676940906E-4</v>
      </c>
      <c r="E8" s="5">
        <f>'Northern Trust Master fondsen'!F24</f>
        <v>5.4497376783190948E-5</v>
      </c>
      <c r="F8" s="5">
        <f>'Northern Trust Master fondsen'!G24</f>
        <v>4.2326604352244424E-5</v>
      </c>
      <c r="G8" s="5"/>
      <c r="H8" s="6"/>
    </row>
    <row r="9" spans="2:10" ht="15" customHeight="1" x14ac:dyDescent="0.25">
      <c r="B9" s="2" t="s">
        <v>27</v>
      </c>
      <c r="C9" s="5">
        <f>SUM(C7:C8)</f>
        <v>1.4929905662161474E-4</v>
      </c>
      <c r="D9" s="5">
        <f t="shared" ref="D9:F9" si="1">SUM(D7:D8)</f>
        <v>1.893853384964477E-4</v>
      </c>
      <c r="E9" s="5">
        <f t="shared" si="1"/>
        <v>5.4497376783190948E-5</v>
      </c>
      <c r="F9" s="5">
        <f t="shared" si="1"/>
        <v>4.2477490260619238E-5</v>
      </c>
      <c r="G9" s="5"/>
      <c r="H9" s="7">
        <f>AVERAGE(C9:G9)</f>
        <v>1.0891481554046815E-4</v>
      </c>
    </row>
    <row r="10" spans="2:10" x14ac:dyDescent="0.25">
      <c r="B10" s="2" t="s">
        <v>106</v>
      </c>
      <c r="C10" s="4">
        <v>1.4E-3</v>
      </c>
      <c r="D10" s="4">
        <v>2.9999999999999997E-4</v>
      </c>
      <c r="E10" s="4">
        <v>1.1999999999999999E-3</v>
      </c>
      <c r="F10" s="4">
        <v>1.4E-3</v>
      </c>
      <c r="G10" s="5"/>
      <c r="H10" s="7">
        <f t="shared" ref="H10" si="2">AVERAGE(C10:F10)</f>
        <v>1.075E-3</v>
      </c>
    </row>
    <row r="11" spans="2:10" x14ac:dyDescent="0.25">
      <c r="B11" s="2"/>
      <c r="C11" s="4"/>
      <c r="D11" s="4"/>
      <c r="E11" s="4"/>
      <c r="F11" s="4"/>
      <c r="G11" s="5"/>
      <c r="H11" s="7"/>
    </row>
    <row r="12" spans="2:10" x14ac:dyDescent="0.25">
      <c r="B12" s="2" t="s">
        <v>102</v>
      </c>
      <c r="C12" s="17">
        <f>49806-C5</f>
        <v>49562</v>
      </c>
      <c r="D12" s="17">
        <f>101119-D5</f>
        <v>100919</v>
      </c>
      <c r="E12" s="17">
        <f>724855-E5</f>
        <v>724855</v>
      </c>
      <c r="F12" s="17">
        <f>1049269-F5</f>
        <v>1049118</v>
      </c>
      <c r="G12" s="5"/>
      <c r="H12" s="7"/>
      <c r="J12" s="1"/>
    </row>
    <row r="13" spans="2:10" x14ac:dyDescent="0.25">
      <c r="B13" s="2" t="s">
        <v>47</v>
      </c>
      <c r="C13" s="17">
        <v>136</v>
      </c>
      <c r="D13" s="17">
        <v>32602</v>
      </c>
      <c r="E13" s="17">
        <v>1918</v>
      </c>
      <c r="F13" s="17">
        <v>603</v>
      </c>
      <c r="G13" s="5"/>
      <c r="H13" s="7"/>
    </row>
    <row r="14" spans="2:10" x14ac:dyDescent="0.25">
      <c r="B14" s="2" t="s">
        <v>107</v>
      </c>
      <c r="C14" s="4">
        <f>C12/C6</f>
        <v>1.4009490679457188E-3</v>
      </c>
      <c r="D14" s="4">
        <f t="shared" ref="D14:F14" si="3">D12/D6</f>
        <v>2.9891790350506276E-4</v>
      </c>
      <c r="E14" s="4">
        <f t="shared" si="3"/>
        <v>1.1689801018687567E-3</v>
      </c>
      <c r="F14" s="4">
        <f t="shared" si="3"/>
        <v>1.0483253140554036E-3</v>
      </c>
      <c r="G14" s="5"/>
      <c r="H14" s="7">
        <f>AVERAGE(C14:F14)</f>
        <v>9.7929309684373551E-4</v>
      </c>
    </row>
    <row r="15" spans="2:10" ht="15" customHeight="1" x14ac:dyDescent="0.25">
      <c r="B15" s="2" t="s">
        <v>108</v>
      </c>
      <c r="C15" s="4">
        <f>(C12+C13)/C6</f>
        <v>1.4047933251032311E-3</v>
      </c>
      <c r="D15" s="4">
        <f t="shared" ref="D15:F15" si="4">(D12+D13)/D6</f>
        <v>3.9548367892963156E-4</v>
      </c>
      <c r="E15" s="4">
        <f t="shared" si="4"/>
        <v>1.1720732775182098E-3</v>
      </c>
      <c r="F15" s="4">
        <f t="shared" si="4"/>
        <v>1.0489278584444766E-3</v>
      </c>
      <c r="G15" s="5"/>
      <c r="H15" s="7">
        <f>AVERAGE(C15:F15)</f>
        <v>1.0053195349988874E-3</v>
      </c>
    </row>
    <row r="16" spans="2:10" ht="15" customHeight="1" x14ac:dyDescent="0.25">
      <c r="B16" s="2"/>
      <c r="C16" s="4"/>
      <c r="D16" s="4"/>
      <c r="E16" s="4"/>
      <c r="F16" s="4"/>
      <c r="G16" s="5"/>
      <c r="H16" s="7"/>
    </row>
    <row r="17" spans="2:9" ht="15" customHeight="1" x14ac:dyDescent="0.25">
      <c r="B17" s="2"/>
      <c r="D17" s="5"/>
      <c r="E17" s="5"/>
      <c r="F17" s="5"/>
      <c r="G17" s="5"/>
      <c r="H17" s="6"/>
    </row>
    <row r="18" spans="2:9" x14ac:dyDescent="0.25">
      <c r="B18" s="2" t="s">
        <v>21</v>
      </c>
      <c r="C18" s="7">
        <f>H9+H14</f>
        <v>1.0882079123842037E-3</v>
      </c>
      <c r="D18" s="5" t="s">
        <v>77</v>
      </c>
      <c r="E18" s="5"/>
      <c r="F18" s="5"/>
      <c r="G18" s="5"/>
      <c r="H18" s="6"/>
    </row>
    <row r="19" spans="2:9" x14ac:dyDescent="0.25">
      <c r="B19" s="2" t="s">
        <v>55</v>
      </c>
      <c r="C19" s="4">
        <f>'Tracking Difference'!J22/100</f>
        <v>3.274999999999998E-3</v>
      </c>
      <c r="D19" s="5" t="s">
        <v>77</v>
      </c>
      <c r="E19" s="5"/>
      <c r="F19" s="5"/>
      <c r="G19" s="5"/>
      <c r="H19" s="6"/>
    </row>
    <row r="20" spans="2:9" x14ac:dyDescent="0.25">
      <c r="B20" s="2" t="s">
        <v>57</v>
      </c>
      <c r="C20" s="4">
        <f>C19-C18</f>
        <v>2.1867920876157943E-3</v>
      </c>
      <c r="D20" s="5" t="s">
        <v>77</v>
      </c>
      <c r="E20" s="5"/>
      <c r="F20" s="5"/>
      <c r="G20" s="5"/>
      <c r="H20" s="6"/>
    </row>
    <row r="21" spans="2:9" x14ac:dyDescent="0.25">
      <c r="B21" s="2"/>
      <c r="C21" s="4"/>
      <c r="D21" s="5"/>
      <c r="E21" s="5"/>
      <c r="F21" s="5"/>
      <c r="G21" s="5"/>
      <c r="H21" s="6"/>
    </row>
    <row r="22" spans="2:9" x14ac:dyDescent="0.25">
      <c r="B22" s="1" t="s">
        <v>20</v>
      </c>
      <c r="C22" s="32">
        <f>0.15%+AVERAGE(E9:F9)</f>
        <v>1.5484874335219051E-3</v>
      </c>
      <c r="D22" s="5" t="s">
        <v>109</v>
      </c>
      <c r="E22" s="5"/>
      <c r="F22" s="5"/>
      <c r="G22" s="5"/>
      <c r="H22" s="6"/>
      <c r="I22" s="6"/>
    </row>
    <row r="24" spans="2:9" x14ac:dyDescent="0.25">
      <c r="B24" s="1" t="s">
        <v>61</v>
      </c>
      <c r="C24" s="32">
        <f>C22+C20</f>
        <v>3.7352795211376992E-3</v>
      </c>
      <c r="D24" t="s">
        <v>62</v>
      </c>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24"/>
  <sheetViews>
    <sheetView zoomScaleNormal="100" workbookViewId="0">
      <selection activeCell="J6" sqref="J6"/>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100</v>
      </c>
      <c r="C2" s="10"/>
      <c r="D2" s="10"/>
      <c r="E2" s="10"/>
      <c r="F2" s="10"/>
      <c r="G2" s="10"/>
      <c r="H2" s="10"/>
      <c r="J2" s="1" t="s">
        <v>26</v>
      </c>
    </row>
    <row r="3" spans="2:10" x14ac:dyDescent="0.25">
      <c r="B3" t="s">
        <v>103</v>
      </c>
      <c r="J3" t="s">
        <v>82</v>
      </c>
    </row>
    <row r="4" spans="2:10" x14ac:dyDescent="0.25">
      <c r="C4" s="1">
        <v>2016</v>
      </c>
      <c r="D4" s="1">
        <v>2017</v>
      </c>
      <c r="E4" s="1">
        <v>2018</v>
      </c>
      <c r="F4" s="1">
        <v>2019</v>
      </c>
      <c r="G4" s="1"/>
      <c r="H4" s="1" t="s">
        <v>13</v>
      </c>
    </row>
    <row r="5" spans="2:10" x14ac:dyDescent="0.25">
      <c r="B5" s="2" t="s">
        <v>1</v>
      </c>
      <c r="C5" s="13">
        <v>739</v>
      </c>
      <c r="D5" s="13">
        <v>0</v>
      </c>
      <c r="E5" s="13">
        <v>1729</v>
      </c>
      <c r="F5" s="13">
        <v>331</v>
      </c>
      <c r="G5" s="3"/>
      <c r="J5" t="s">
        <v>114</v>
      </c>
    </row>
    <row r="6" spans="2:10" x14ac:dyDescent="0.25">
      <c r="B6" s="2" t="s">
        <v>7</v>
      </c>
      <c r="C6" s="13">
        <v>116633513</v>
      </c>
      <c r="D6" s="13">
        <v>256166911</v>
      </c>
      <c r="E6" s="13">
        <v>421319041</v>
      </c>
      <c r="F6" s="13">
        <v>609141396</v>
      </c>
      <c r="G6" s="3"/>
    </row>
    <row r="7" spans="2:10" x14ac:dyDescent="0.25">
      <c r="B7" s="2" t="s">
        <v>15</v>
      </c>
      <c r="C7" s="5">
        <f>C5/C6</f>
        <v>6.3360862670748841E-6</v>
      </c>
      <c r="D7" s="5">
        <f t="shared" ref="D7:F7" si="0">D5/D6</f>
        <v>0</v>
      </c>
      <c r="E7" s="5">
        <f t="shared" si="0"/>
        <v>4.1037784475541898E-6</v>
      </c>
      <c r="F7" s="5">
        <f t="shared" si="0"/>
        <v>5.4338779497428868E-7</v>
      </c>
      <c r="G7" s="5"/>
      <c r="H7" s="6"/>
      <c r="I7" s="4"/>
    </row>
    <row r="8" spans="2:10" ht="15" customHeight="1" x14ac:dyDescent="0.25">
      <c r="B8" s="2" t="s">
        <v>16</v>
      </c>
      <c r="C8" s="4">
        <f>'Northern Trust Master fondsen'!D18</f>
        <v>4.0880326741039955E-4</v>
      </c>
      <c r="D8" s="4">
        <f>'Northern Trust Master fondsen'!E18</f>
        <v>3.2333263888189987E-4</v>
      </c>
      <c r="E8" s="4">
        <f>'Northern Trust Master fondsen'!F18</f>
        <v>1.4029800153593462E-4</v>
      </c>
      <c r="F8" s="4">
        <f>'Northern Trust Master fondsen'!G18</f>
        <v>1.0903789686451616E-4</v>
      </c>
      <c r="G8" s="5"/>
      <c r="H8" s="6"/>
    </row>
    <row r="9" spans="2:10" ht="15" customHeight="1" x14ac:dyDescent="0.25">
      <c r="B9" s="2" t="s">
        <v>27</v>
      </c>
      <c r="C9" s="4">
        <f>SUM(C7:C8)</f>
        <v>4.1513935367747443E-4</v>
      </c>
      <c r="D9" s="4">
        <f t="shared" ref="D9:F9" si="1">SUM(D7:D8)</f>
        <v>3.2333263888189987E-4</v>
      </c>
      <c r="E9" s="4">
        <f t="shared" si="1"/>
        <v>1.444017799834888E-4</v>
      </c>
      <c r="F9" s="4">
        <f t="shared" si="1"/>
        <v>1.0958128465949044E-4</v>
      </c>
      <c r="G9" s="5"/>
      <c r="H9" s="7">
        <f>AVERAGE(C9:G9)</f>
        <v>2.4811376430058837E-4</v>
      </c>
    </row>
    <row r="10" spans="2:10" x14ac:dyDescent="0.25">
      <c r="B10" s="2" t="s">
        <v>106</v>
      </c>
      <c r="C10" s="4">
        <v>6.9999999999999999E-4</v>
      </c>
      <c r="D10" s="4">
        <v>4.0000000000000002E-4</v>
      </c>
      <c r="E10" s="4">
        <v>1.1000000000000001E-3</v>
      </c>
      <c r="F10" s="4">
        <v>1.5E-3</v>
      </c>
      <c r="G10" s="5"/>
      <c r="H10" s="7">
        <f t="shared" ref="H10" si="2">AVERAGE(C10:F10)</f>
        <v>9.2500000000000004E-4</v>
      </c>
    </row>
    <row r="11" spans="2:10" x14ac:dyDescent="0.25">
      <c r="B11" s="2"/>
      <c r="C11" s="4"/>
      <c r="D11" s="4"/>
      <c r="E11" s="4"/>
      <c r="F11" s="4"/>
      <c r="G11" s="5"/>
      <c r="H11" s="7"/>
    </row>
    <row r="12" spans="2:10" x14ac:dyDescent="0.25">
      <c r="B12" s="2" t="s">
        <v>102</v>
      </c>
      <c r="C12" s="17">
        <f>73959-C5</f>
        <v>73220</v>
      </c>
      <c r="D12" s="17">
        <f>102247-D5</f>
        <v>102247</v>
      </c>
      <c r="E12" s="17">
        <f>593572-E5</f>
        <v>591843</v>
      </c>
      <c r="F12" s="17">
        <f>737120-F5</f>
        <v>736789</v>
      </c>
      <c r="G12" s="5"/>
      <c r="H12" s="7"/>
      <c r="J12" s="1"/>
    </row>
    <row r="13" spans="2:10" x14ac:dyDescent="0.25">
      <c r="B13" s="2" t="s">
        <v>47</v>
      </c>
      <c r="C13" s="17">
        <v>85</v>
      </c>
      <c r="D13" s="17">
        <v>868</v>
      </c>
      <c r="E13" s="17">
        <v>2845</v>
      </c>
      <c r="F13" s="17">
        <v>2078</v>
      </c>
      <c r="G13" s="5"/>
      <c r="H13" s="7"/>
    </row>
    <row r="14" spans="2:10" x14ac:dyDescent="0.25">
      <c r="B14" s="2" t="s">
        <v>107</v>
      </c>
      <c r="C14" s="4">
        <f>C12/C6</f>
        <v>6.2777839847797431E-4</v>
      </c>
      <c r="D14" s="4">
        <f t="shared" ref="D14:F14" si="3">D12/D6</f>
        <v>3.9914210465691254E-4</v>
      </c>
      <c r="E14" s="4">
        <f t="shared" si="3"/>
        <v>1.4047383156366769E-3</v>
      </c>
      <c r="F14" s="4">
        <f t="shared" si="3"/>
        <v>1.2095533234782816E-3</v>
      </c>
      <c r="G14" s="5"/>
      <c r="H14" s="7">
        <f>AVERAGE(C14:F14)</f>
        <v>9.1030303556246129E-4</v>
      </c>
    </row>
    <row r="15" spans="2:10" ht="15" customHeight="1" x14ac:dyDescent="0.25">
      <c r="B15" s="2" t="s">
        <v>108</v>
      </c>
      <c r="C15" s="4">
        <f>(C12+C13)/C6</f>
        <v>6.285071770066636E-4</v>
      </c>
      <c r="D15" s="4">
        <f t="shared" ref="D15:F15" si="4">(D12+D13)/D6</f>
        <v>4.0253052042306902E-4</v>
      </c>
      <c r="E15" s="4">
        <f t="shared" si="4"/>
        <v>1.411490918114E-3</v>
      </c>
      <c r="F15" s="4">
        <f t="shared" si="4"/>
        <v>1.2129646825053406E-3</v>
      </c>
      <c r="G15" s="5"/>
      <c r="H15" s="7">
        <f>AVERAGE(C15:F15)</f>
        <v>9.1387332451226834E-4</v>
      </c>
    </row>
    <row r="16" spans="2:10" ht="15" customHeight="1" x14ac:dyDescent="0.25">
      <c r="B16" s="2"/>
      <c r="C16" s="4"/>
      <c r="D16" s="4"/>
      <c r="E16" s="4"/>
      <c r="F16" s="4"/>
      <c r="G16" s="5"/>
      <c r="H16" s="7"/>
    </row>
    <row r="17" spans="2:9" ht="15" customHeight="1" x14ac:dyDescent="0.25">
      <c r="B17" s="2"/>
      <c r="D17" s="5"/>
      <c r="E17" s="5"/>
      <c r="F17" s="5"/>
      <c r="G17" s="5"/>
      <c r="H17" s="6"/>
    </row>
    <row r="18" spans="2:9" x14ac:dyDescent="0.25">
      <c r="B18" s="2" t="s">
        <v>21</v>
      </c>
      <c r="C18" s="7">
        <f>H9+H14</f>
        <v>1.1584167998630497E-3</v>
      </c>
      <c r="D18" s="5" t="s">
        <v>77</v>
      </c>
      <c r="E18" s="5"/>
      <c r="F18" s="5"/>
      <c r="G18" s="5"/>
      <c r="H18" s="6"/>
    </row>
    <row r="19" spans="2:9" x14ac:dyDescent="0.25">
      <c r="B19" s="2" t="s">
        <v>55</v>
      </c>
      <c r="C19" s="4">
        <f>'Tracking Difference'!J30/100</f>
        <v>1.6499999999999959E-3</v>
      </c>
      <c r="D19" s="5" t="s">
        <v>77</v>
      </c>
      <c r="E19" s="5"/>
      <c r="F19" s="5"/>
      <c r="G19" s="5"/>
      <c r="H19" s="6"/>
    </row>
    <row r="20" spans="2:9" x14ac:dyDescent="0.25">
      <c r="B20" s="2" t="s">
        <v>57</v>
      </c>
      <c r="C20" s="4">
        <f>C19-C18</f>
        <v>4.9158320013694616E-4</v>
      </c>
      <c r="D20" s="5" t="s">
        <v>77</v>
      </c>
      <c r="E20" s="5"/>
      <c r="F20" s="5"/>
      <c r="G20" s="5"/>
      <c r="H20" s="6"/>
    </row>
    <row r="21" spans="2:9" x14ac:dyDescent="0.25">
      <c r="B21" s="2"/>
      <c r="C21" s="4"/>
      <c r="D21" s="5"/>
      <c r="E21" s="5"/>
      <c r="F21" s="5"/>
      <c r="G21" s="5"/>
      <c r="H21" s="6"/>
    </row>
    <row r="22" spans="2:9" x14ac:dyDescent="0.25">
      <c r="B22" s="1" t="s">
        <v>20</v>
      </c>
      <c r="C22" s="32">
        <f>0.15%+AVERAGE(E9:F9)</f>
        <v>1.6269915323214896E-3</v>
      </c>
      <c r="D22" s="5" t="s">
        <v>109</v>
      </c>
      <c r="E22" s="5"/>
      <c r="F22" s="5"/>
      <c r="G22" s="5"/>
      <c r="H22" s="6"/>
      <c r="I22" s="6"/>
    </row>
    <row r="24" spans="2:9" x14ac:dyDescent="0.25">
      <c r="B24" s="1" t="s">
        <v>61</v>
      </c>
      <c r="C24" s="32">
        <f>C22+C20</f>
        <v>2.1185747324584357E-3</v>
      </c>
      <c r="D24" t="s">
        <v>62</v>
      </c>
    </row>
  </sheetData>
  <pageMargins left="0.7" right="0.7" top="0.75" bottom="0.75" header="0.3" footer="0.3"/>
  <pageSetup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L24"/>
  <sheetViews>
    <sheetView workbookViewId="0">
      <selection activeCell="G17" sqref="G17"/>
    </sheetView>
  </sheetViews>
  <sheetFormatPr defaultRowHeight="15" x14ac:dyDescent="0.25"/>
  <cols>
    <col min="2" max="3" width="24.85546875" customWidth="1"/>
    <col min="4" max="7" width="17.7109375" customWidth="1"/>
    <col min="9" max="9" width="10.140625" bestFit="1" customWidth="1"/>
  </cols>
  <sheetData>
    <row r="2" spans="2:12" x14ac:dyDescent="0.25">
      <c r="B2" s="11" t="s">
        <v>10</v>
      </c>
      <c r="C2" s="11"/>
      <c r="D2" s="12"/>
      <c r="E2" s="12"/>
      <c r="F2" s="12"/>
      <c r="G2" s="12"/>
      <c r="I2" s="9" t="s">
        <v>18</v>
      </c>
    </row>
    <row r="3" spans="2:12" x14ac:dyDescent="0.25">
      <c r="C3" s="1">
        <v>2015</v>
      </c>
      <c r="D3" s="1">
        <v>2016</v>
      </c>
      <c r="E3" s="1">
        <v>2017</v>
      </c>
      <c r="F3" s="1">
        <v>2018</v>
      </c>
      <c r="G3" s="1">
        <v>2019</v>
      </c>
    </row>
    <row r="4" spans="2:12" x14ac:dyDescent="0.25">
      <c r="B4" s="1" t="s">
        <v>1</v>
      </c>
      <c r="C4" s="1"/>
      <c r="D4" s="13">
        <v>200474</v>
      </c>
      <c r="E4" s="13">
        <v>116789</v>
      </c>
      <c r="F4" s="13">
        <v>159626</v>
      </c>
      <c r="G4" s="13">
        <v>261252</v>
      </c>
      <c r="I4" s="1" t="s">
        <v>25</v>
      </c>
    </row>
    <row r="5" spans="2:12" x14ac:dyDescent="0.25">
      <c r="B5" s="1" t="s">
        <v>12</v>
      </c>
      <c r="C5" s="13">
        <v>957946194</v>
      </c>
      <c r="D5" s="13">
        <v>2005749714</v>
      </c>
      <c r="E5" s="13">
        <v>3210042287</v>
      </c>
      <c r="F5" s="13">
        <v>4337266633</v>
      </c>
      <c r="G5" s="13">
        <f>6989496789</f>
        <v>6989496789</v>
      </c>
      <c r="I5" s="9" t="s">
        <v>19</v>
      </c>
    </row>
    <row r="6" spans="2:12" x14ac:dyDescent="0.25">
      <c r="B6" s="1" t="s">
        <v>8</v>
      </c>
      <c r="C6" s="8"/>
      <c r="D6" s="5">
        <f t="shared" ref="D6:F6" si="0">D4/AVERAGE(C5:D5)</f>
        <v>1.3528648432442348E-4</v>
      </c>
      <c r="E6" s="5">
        <f t="shared" si="0"/>
        <v>4.4782844092559127E-5</v>
      </c>
      <c r="F6" s="5">
        <f t="shared" si="0"/>
        <v>4.2300110328596436E-5</v>
      </c>
      <c r="G6" s="5">
        <f>G4/AVERAGE(F5:G5)</f>
        <v>4.6130035609743487E-5</v>
      </c>
      <c r="I6" s="9" t="s">
        <v>38</v>
      </c>
    </row>
    <row r="7" spans="2:12" x14ac:dyDescent="0.25">
      <c r="E7" s="3"/>
      <c r="F7" s="3"/>
      <c r="G7" s="3"/>
      <c r="I7" s="9" t="s">
        <v>17</v>
      </c>
    </row>
    <row r="8" spans="2:12" x14ac:dyDescent="0.25">
      <c r="B8" s="11" t="s">
        <v>11</v>
      </c>
      <c r="C8" s="11"/>
      <c r="D8" s="12"/>
      <c r="E8" s="12"/>
      <c r="F8" s="12"/>
      <c r="G8" s="12"/>
    </row>
    <row r="9" spans="2:12" x14ac:dyDescent="0.25">
      <c r="C9" s="1">
        <v>2015</v>
      </c>
      <c r="D9" s="1">
        <v>2016</v>
      </c>
      <c r="E9" s="1">
        <v>2017</v>
      </c>
      <c r="F9" s="1">
        <v>2018</v>
      </c>
      <c r="G9" s="1">
        <v>2019</v>
      </c>
      <c r="I9" s="1" t="s">
        <v>25</v>
      </c>
      <c r="J9" s="6"/>
      <c r="L9" s="6"/>
    </row>
    <row r="10" spans="2:12" x14ac:dyDescent="0.25">
      <c r="B10" s="1" t="s">
        <v>1</v>
      </c>
      <c r="C10" s="2"/>
      <c r="D10" s="2"/>
      <c r="E10" s="39"/>
      <c r="F10" s="39"/>
      <c r="G10" s="39">
        <v>63179</v>
      </c>
      <c r="I10" s="15" t="s">
        <v>39</v>
      </c>
      <c r="L10" s="4"/>
    </row>
    <row r="11" spans="2:12" x14ac:dyDescent="0.25">
      <c r="B11" s="1" t="s">
        <v>12</v>
      </c>
      <c r="C11" s="2"/>
      <c r="D11" s="39"/>
      <c r="E11" s="39"/>
      <c r="F11" s="39">
        <v>0</v>
      </c>
      <c r="G11" s="39">
        <v>141467154</v>
      </c>
      <c r="I11" s="9" t="s">
        <v>37</v>
      </c>
      <c r="L11" s="6"/>
    </row>
    <row r="12" spans="2:12" x14ac:dyDescent="0.25">
      <c r="B12" s="1" t="s">
        <v>8</v>
      </c>
      <c r="C12" s="2"/>
      <c r="D12" s="2"/>
      <c r="E12" s="40"/>
      <c r="F12" s="40"/>
      <c r="G12" s="41">
        <f>G10/AVERAGE(F11:G11)</f>
        <v>8.9319673455790307E-4</v>
      </c>
    </row>
    <row r="13" spans="2:12" x14ac:dyDescent="0.25">
      <c r="I13" s="9" t="s">
        <v>44</v>
      </c>
    </row>
    <row r="14" spans="2:12" x14ac:dyDescent="0.25">
      <c r="B14" s="11" t="s">
        <v>104</v>
      </c>
      <c r="C14" s="11"/>
      <c r="D14" s="12"/>
      <c r="E14" s="12"/>
      <c r="F14" s="12"/>
      <c r="G14" s="12"/>
      <c r="I14" s="9" t="s">
        <v>45</v>
      </c>
    </row>
    <row r="15" spans="2:12" x14ac:dyDescent="0.25">
      <c r="B15" s="1" t="s">
        <v>1</v>
      </c>
      <c r="C15" s="1">
        <v>2015</v>
      </c>
      <c r="D15" s="1">
        <v>2016</v>
      </c>
      <c r="E15" s="1">
        <v>2017</v>
      </c>
      <c r="F15" s="1">
        <v>2018</v>
      </c>
      <c r="G15" s="1">
        <v>2019</v>
      </c>
      <c r="I15" s="9" t="s">
        <v>46</v>
      </c>
      <c r="J15" s="7"/>
    </row>
    <row r="16" spans="2:12" x14ac:dyDescent="0.25">
      <c r="B16" s="1" t="s">
        <v>1</v>
      </c>
      <c r="C16" s="39"/>
      <c r="D16" s="39">
        <v>45547</v>
      </c>
      <c r="E16" s="39">
        <v>119882</v>
      </c>
      <c r="F16" s="39">
        <v>97972</v>
      </c>
      <c r="G16" s="39">
        <v>119750</v>
      </c>
      <c r="I16" s="9"/>
      <c r="J16" s="7"/>
    </row>
    <row r="17" spans="2:7" x14ac:dyDescent="0.25">
      <c r="B17" s="1" t="s">
        <v>12</v>
      </c>
      <c r="C17" s="39">
        <v>25275750</v>
      </c>
      <c r="D17" s="39">
        <v>197555150</v>
      </c>
      <c r="E17" s="39">
        <v>543984587</v>
      </c>
      <c r="F17" s="39">
        <v>852642577</v>
      </c>
      <c r="G17" s="39">
        <v>1343841461</v>
      </c>
    </row>
    <row r="18" spans="2:7" x14ac:dyDescent="0.25">
      <c r="B18" s="1" t="s">
        <v>8</v>
      </c>
      <c r="C18" s="8"/>
      <c r="D18" s="5">
        <f t="shared" ref="D18" si="1">D16/AVERAGE(C17:D17)</f>
        <v>4.0880326741039955E-4</v>
      </c>
      <c r="E18" s="5">
        <f t="shared" ref="E18" si="2">E16/AVERAGE(D17:E17)</f>
        <v>3.2333263888189987E-4</v>
      </c>
      <c r="F18" s="5">
        <f t="shared" ref="F18" si="3">F16/AVERAGE(E17:F17)</f>
        <v>1.4029800153593462E-4</v>
      </c>
      <c r="G18" s="5">
        <f>G16/AVERAGE(F17:G17)</f>
        <v>1.0903789686451616E-4</v>
      </c>
    </row>
    <row r="20" spans="2:7" x14ac:dyDescent="0.25">
      <c r="B20" s="11" t="s">
        <v>105</v>
      </c>
      <c r="C20" s="11"/>
      <c r="D20" s="12"/>
      <c r="E20" s="12"/>
      <c r="F20" s="12"/>
      <c r="G20" s="12"/>
    </row>
    <row r="21" spans="2:7" x14ac:dyDescent="0.25">
      <c r="B21" s="1" t="s">
        <v>1</v>
      </c>
      <c r="C21" s="1">
        <v>2015</v>
      </c>
      <c r="D21" s="1">
        <v>2016</v>
      </c>
      <c r="E21" s="1">
        <v>2017</v>
      </c>
      <c r="F21" s="1">
        <v>2018</v>
      </c>
      <c r="G21" s="1">
        <v>2019</v>
      </c>
    </row>
    <row r="22" spans="2:7" x14ac:dyDescent="0.25">
      <c r="B22" s="1" t="s">
        <v>1</v>
      </c>
      <c r="C22" s="39"/>
      <c r="D22" s="39">
        <v>10837</v>
      </c>
      <c r="E22" s="39">
        <v>77254</v>
      </c>
      <c r="F22" s="39">
        <v>45684</v>
      </c>
      <c r="G22" s="39">
        <v>55573</v>
      </c>
    </row>
    <row r="23" spans="2:7" x14ac:dyDescent="0.25">
      <c r="B23" s="1" t="s">
        <v>12</v>
      </c>
      <c r="C23" s="39">
        <v>82931512</v>
      </c>
      <c r="D23" s="39">
        <v>69271399</v>
      </c>
      <c r="E23" s="39">
        <v>749127819</v>
      </c>
      <c r="F23" s="39">
        <v>927429942</v>
      </c>
      <c r="G23" s="39">
        <v>1698483516</v>
      </c>
    </row>
    <row r="24" spans="2:7" x14ac:dyDescent="0.25">
      <c r="B24" s="1" t="s">
        <v>8</v>
      </c>
      <c r="C24" s="8"/>
      <c r="D24" s="5">
        <f t="shared" ref="D24" si="4">D22/AVERAGE(C23:D23)</f>
        <v>1.4240200701548999E-4</v>
      </c>
      <c r="E24" s="5">
        <f t="shared" ref="E24" si="5">E22/AVERAGE(D23:E23)</f>
        <v>1.8879294676940906E-4</v>
      </c>
      <c r="F24" s="5">
        <f t="shared" ref="F24" si="6">F22/AVERAGE(E23:F23)</f>
        <v>5.4497376783190948E-5</v>
      </c>
      <c r="G24" s="5">
        <f>G22/AVERAGE(F23:G23)</f>
        <v>4.2326604352244424E-5</v>
      </c>
    </row>
  </sheetData>
  <pageMargins left="0.7" right="0.7" top="0.75" bottom="0.75" header="0.3" footer="0.3"/>
  <pageSetup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N30"/>
  <sheetViews>
    <sheetView tabSelected="1" workbookViewId="0">
      <selection activeCell="J32" sqref="J32"/>
    </sheetView>
  </sheetViews>
  <sheetFormatPr defaultRowHeight="15" x14ac:dyDescent="0.25"/>
  <cols>
    <col min="2" max="2" width="73" customWidth="1"/>
  </cols>
  <sheetData>
    <row r="2" spans="2:14" x14ac:dyDescent="0.25">
      <c r="B2" s="18"/>
      <c r="C2" s="19">
        <v>2014</v>
      </c>
      <c r="D2" s="19">
        <v>2015</v>
      </c>
      <c r="E2" s="19">
        <v>2016</v>
      </c>
      <c r="F2" s="19">
        <v>2017</v>
      </c>
      <c r="G2" s="19">
        <v>2018</v>
      </c>
      <c r="H2" s="19">
        <v>2019</v>
      </c>
      <c r="I2" s="18"/>
      <c r="J2" s="20" t="s">
        <v>49</v>
      </c>
      <c r="K2" s="20" t="s">
        <v>50</v>
      </c>
    </row>
    <row r="3" spans="2:14" x14ac:dyDescent="0.25">
      <c r="B3" s="20" t="s">
        <v>96</v>
      </c>
      <c r="C3" s="21"/>
      <c r="D3" s="21"/>
      <c r="E3" s="21">
        <v>10.55</v>
      </c>
      <c r="F3" s="21">
        <v>8.32</v>
      </c>
      <c r="G3" s="21">
        <v>-3.3</v>
      </c>
      <c r="H3" s="21">
        <v>30.93</v>
      </c>
      <c r="I3" s="18"/>
      <c r="J3" s="18"/>
      <c r="K3" s="21"/>
    </row>
    <row r="4" spans="2:14" x14ac:dyDescent="0.25">
      <c r="B4" s="20" t="s">
        <v>51</v>
      </c>
      <c r="C4" s="21">
        <v>20.76</v>
      </c>
      <c r="D4" s="21">
        <v>11.13</v>
      </c>
      <c r="E4" s="21">
        <v>10.72</v>
      </c>
      <c r="F4" s="21">
        <v>8.5399999999999991</v>
      </c>
      <c r="G4" s="21">
        <v>-3.12</v>
      </c>
      <c r="H4" s="21">
        <v>31.17</v>
      </c>
      <c r="I4" s="18"/>
      <c r="J4" s="18"/>
      <c r="K4" s="18"/>
    </row>
    <row r="5" spans="2:14" x14ac:dyDescent="0.25">
      <c r="B5" s="20" t="s">
        <v>52</v>
      </c>
      <c r="C5" s="21"/>
      <c r="D5" s="21"/>
      <c r="E5" s="21">
        <v>10.07</v>
      </c>
      <c r="F5" s="21">
        <v>7.95</v>
      </c>
      <c r="G5" s="21">
        <v>-3.65</v>
      </c>
      <c r="H5" s="21">
        <v>30.44</v>
      </c>
      <c r="I5" s="18"/>
      <c r="J5" s="18"/>
      <c r="K5" s="21"/>
    </row>
    <row r="6" spans="2:14" x14ac:dyDescent="0.25">
      <c r="B6" s="20" t="s">
        <v>54</v>
      </c>
      <c r="C6" s="21"/>
      <c r="D6" s="21"/>
      <c r="E6" s="21">
        <f>E3-E5</f>
        <v>0.48000000000000043</v>
      </c>
      <c r="F6" s="21">
        <f>F3-F5</f>
        <v>0.37000000000000011</v>
      </c>
      <c r="G6" s="21">
        <f>G3-G5</f>
        <v>0.35000000000000009</v>
      </c>
      <c r="H6" s="21">
        <f>H3-H5</f>
        <v>0.48999999999999844</v>
      </c>
      <c r="I6" s="18"/>
      <c r="J6" s="18"/>
      <c r="K6" s="21">
        <f>AVERAGE(E6:H6)</f>
        <v>0.42249999999999976</v>
      </c>
    </row>
    <row r="7" spans="2:14" x14ac:dyDescent="0.25">
      <c r="B7" s="20" t="s">
        <v>53</v>
      </c>
      <c r="C7" s="21"/>
      <c r="D7" s="21"/>
      <c r="E7" s="21">
        <f>E4-E3</f>
        <v>0.16999999999999993</v>
      </c>
      <c r="F7" s="21">
        <f>F4-F3</f>
        <v>0.21999999999999886</v>
      </c>
      <c r="G7" s="21">
        <f>G4-G3</f>
        <v>0.17999999999999972</v>
      </c>
      <c r="H7" s="21">
        <f>H4-H3</f>
        <v>0.24000000000000199</v>
      </c>
      <c r="I7" s="18"/>
      <c r="J7" s="37">
        <f>AVERAGE(E7:H7)</f>
        <v>0.20250000000000012</v>
      </c>
      <c r="K7" s="21"/>
      <c r="M7" s="36">
        <f>AVERAGE(G7:H7)</f>
        <v>0.21000000000000085</v>
      </c>
      <c r="N7" t="s">
        <v>86</v>
      </c>
    </row>
    <row r="10" spans="2:14" x14ac:dyDescent="0.25">
      <c r="B10" s="23" t="s">
        <v>95</v>
      </c>
      <c r="C10" s="24"/>
      <c r="D10" s="24"/>
      <c r="E10" s="24">
        <v>12.94</v>
      </c>
      <c r="F10" s="24">
        <v>21.63</v>
      </c>
      <c r="G10" s="24">
        <v>-10.75</v>
      </c>
      <c r="H10" s="24">
        <v>20.82</v>
      </c>
      <c r="I10" s="24"/>
      <c r="J10" s="22"/>
      <c r="K10" s="24"/>
    </row>
    <row r="11" spans="2:14" x14ac:dyDescent="0.25">
      <c r="B11" s="23" t="s">
        <v>51</v>
      </c>
      <c r="C11" s="24">
        <v>12.03</v>
      </c>
      <c r="D11" s="24">
        <v>-3.64</v>
      </c>
      <c r="E11" s="24">
        <v>13.57</v>
      </c>
      <c r="F11" s="24">
        <v>21.71</v>
      </c>
      <c r="G11" s="24">
        <v>-10.25</v>
      </c>
      <c r="H11" s="24">
        <v>21.08</v>
      </c>
      <c r="I11" s="24"/>
      <c r="J11" s="22"/>
      <c r="K11" s="24"/>
    </row>
    <row r="12" spans="2:14" x14ac:dyDescent="0.25">
      <c r="B12" s="23" t="s">
        <v>52</v>
      </c>
      <c r="C12" s="24"/>
      <c r="D12" s="24"/>
      <c r="E12" s="24">
        <v>13.14</v>
      </c>
      <c r="F12" s="24">
        <v>21.3</v>
      </c>
      <c r="G12" s="24">
        <v>-10.6</v>
      </c>
      <c r="H12" s="24">
        <v>20.61</v>
      </c>
      <c r="I12" s="24"/>
      <c r="J12" s="22"/>
      <c r="K12" s="24"/>
    </row>
    <row r="13" spans="2:14" x14ac:dyDescent="0.25">
      <c r="B13" s="23" t="s">
        <v>54</v>
      </c>
      <c r="C13" s="24"/>
      <c r="D13" s="24"/>
      <c r="E13" s="24">
        <f>E10-E12</f>
        <v>-0.20000000000000107</v>
      </c>
      <c r="F13" s="24">
        <f>F10-F12</f>
        <v>0.32999999999999829</v>
      </c>
      <c r="G13" s="24">
        <f>G10-G12</f>
        <v>-0.15000000000000036</v>
      </c>
      <c r="H13" s="24">
        <f>H10-H12</f>
        <v>0.21000000000000085</v>
      </c>
      <c r="I13" s="24"/>
      <c r="J13" s="24"/>
      <c r="K13" s="24">
        <f>AVERAGE(E13:H13)</f>
        <v>4.7499999999999432E-2</v>
      </c>
    </row>
    <row r="14" spans="2:14" x14ac:dyDescent="0.25">
      <c r="B14" s="23" t="s">
        <v>53</v>
      </c>
      <c r="C14" s="24"/>
      <c r="D14" s="24"/>
      <c r="E14" s="24">
        <f>E11-E10</f>
        <v>0.63000000000000078</v>
      </c>
      <c r="F14" s="24">
        <f>F11-F10</f>
        <v>8.0000000000001847E-2</v>
      </c>
      <c r="G14" s="24">
        <f>G11-G10</f>
        <v>0.5</v>
      </c>
      <c r="H14" s="24">
        <f>H11-H10</f>
        <v>0.25999999999999801</v>
      </c>
      <c r="I14" s="24"/>
      <c r="J14" s="35">
        <f>AVERAGE(E14:H14)</f>
        <v>0.36750000000000016</v>
      </c>
      <c r="K14" s="24"/>
    </row>
    <row r="17" spans="2:11" x14ac:dyDescent="0.25">
      <c r="B17" s="23" t="s">
        <v>94</v>
      </c>
      <c r="E17">
        <v>14.75</v>
      </c>
      <c r="F17">
        <v>7.07</v>
      </c>
      <c r="G17">
        <v>0.35</v>
      </c>
      <c r="H17">
        <v>34.049999999999997</v>
      </c>
    </row>
    <row r="18" spans="2:11" x14ac:dyDescent="0.25">
      <c r="B18" s="23" t="s">
        <v>91</v>
      </c>
      <c r="E18">
        <v>14.47</v>
      </c>
      <c r="F18">
        <v>6.77</v>
      </c>
      <c r="G18">
        <v>0.02</v>
      </c>
      <c r="H18">
        <v>33.590000000000003</v>
      </c>
    </row>
    <row r="19" spans="2:11" x14ac:dyDescent="0.25">
      <c r="B19" s="23" t="s">
        <v>92</v>
      </c>
      <c r="E19">
        <v>15.19</v>
      </c>
      <c r="F19">
        <v>7.39</v>
      </c>
      <c r="G19">
        <v>0.57999999999999996</v>
      </c>
      <c r="H19">
        <v>34.369999999999997</v>
      </c>
    </row>
    <row r="20" spans="2:11" x14ac:dyDescent="0.25">
      <c r="B20" s="23" t="s">
        <v>115</v>
      </c>
      <c r="E20">
        <f>E19-E18</f>
        <v>0.71999999999999886</v>
      </c>
      <c r="F20">
        <f t="shared" ref="F20:H20" si="0">F19-F18</f>
        <v>0.62000000000000011</v>
      </c>
      <c r="G20">
        <f t="shared" si="0"/>
        <v>0.55999999999999994</v>
      </c>
      <c r="H20">
        <f t="shared" si="0"/>
        <v>0.77999999999999403</v>
      </c>
      <c r="I20">
        <f>AVERAGE(E20:H20)</f>
        <v>0.66999999999999826</v>
      </c>
    </row>
    <row r="21" spans="2:11" x14ac:dyDescent="0.25">
      <c r="B21" s="23" t="s">
        <v>54</v>
      </c>
      <c r="E21">
        <f>E17-E18</f>
        <v>0.27999999999999936</v>
      </c>
      <c r="F21">
        <f t="shared" ref="F21:H21" si="1">F17-F18</f>
        <v>0.30000000000000071</v>
      </c>
      <c r="G21">
        <f t="shared" si="1"/>
        <v>0.32999999999999996</v>
      </c>
      <c r="H21">
        <f t="shared" si="1"/>
        <v>0.45999999999999375</v>
      </c>
      <c r="K21" s="34">
        <f>AVERAGE(E21:H21)</f>
        <v>0.34249999999999847</v>
      </c>
    </row>
    <row r="22" spans="2:11" x14ac:dyDescent="0.25">
      <c r="B22" s="23" t="s">
        <v>53</v>
      </c>
      <c r="E22">
        <f>E19-E17</f>
        <v>0.4399999999999995</v>
      </c>
      <c r="F22">
        <f t="shared" ref="F22:H22" si="2">F19-F17</f>
        <v>0.3199999999999994</v>
      </c>
      <c r="G22">
        <f t="shared" si="2"/>
        <v>0.22999999999999998</v>
      </c>
      <c r="H22">
        <f t="shared" si="2"/>
        <v>0.32000000000000028</v>
      </c>
      <c r="J22" s="36">
        <f>AVERAGE(E22:H22)</f>
        <v>0.32749999999999979</v>
      </c>
    </row>
    <row r="25" spans="2:11" x14ac:dyDescent="0.25">
      <c r="B25" s="23" t="s">
        <v>97</v>
      </c>
      <c r="E25">
        <v>1.81</v>
      </c>
      <c r="F25">
        <v>10.79</v>
      </c>
      <c r="G25">
        <v>-10.47</v>
      </c>
      <c r="H25">
        <v>26.76</v>
      </c>
    </row>
    <row r="26" spans="2:11" x14ac:dyDescent="0.25">
      <c r="B26" s="23" t="s">
        <v>98</v>
      </c>
      <c r="E26">
        <v>1.24</v>
      </c>
      <c r="F26">
        <v>10.3</v>
      </c>
      <c r="G26">
        <v>-10.89</v>
      </c>
      <c r="H26">
        <v>26.14</v>
      </c>
    </row>
    <row r="27" spans="2:11" x14ac:dyDescent="0.25">
      <c r="B27" s="23" t="s">
        <v>99</v>
      </c>
      <c r="E27">
        <v>1.9</v>
      </c>
      <c r="F27">
        <v>10.96</v>
      </c>
      <c r="G27">
        <v>-10.3</v>
      </c>
      <c r="H27">
        <v>26.99</v>
      </c>
    </row>
    <row r="28" spans="2:11" x14ac:dyDescent="0.25">
      <c r="B28" s="23" t="s">
        <v>115</v>
      </c>
      <c r="E28">
        <f>E27-E26</f>
        <v>0.65999999999999992</v>
      </c>
      <c r="F28">
        <f t="shared" ref="F28:H28" si="3">F27-F26</f>
        <v>0.66000000000000014</v>
      </c>
      <c r="G28">
        <f t="shared" si="3"/>
        <v>0.58999999999999986</v>
      </c>
      <c r="H28">
        <f t="shared" si="3"/>
        <v>0.84999999999999787</v>
      </c>
      <c r="I28">
        <f>AVERAGE(E28:H28)</f>
        <v>0.6899999999999995</v>
      </c>
    </row>
    <row r="29" spans="2:11" x14ac:dyDescent="0.25">
      <c r="B29" s="23" t="s">
        <v>54</v>
      </c>
      <c r="E29">
        <f>E25-E26</f>
        <v>0.57000000000000006</v>
      </c>
      <c r="F29">
        <f t="shared" ref="F29:H29" si="4">F25-F26</f>
        <v>0.48999999999999844</v>
      </c>
      <c r="G29">
        <f t="shared" si="4"/>
        <v>0.41999999999999993</v>
      </c>
      <c r="H29">
        <f t="shared" si="4"/>
        <v>0.62000000000000099</v>
      </c>
      <c r="K29" s="34">
        <f>AVERAGE(E29:H29)</f>
        <v>0.52499999999999991</v>
      </c>
    </row>
    <row r="30" spans="2:11" x14ac:dyDescent="0.25">
      <c r="B30" s="23" t="s">
        <v>53</v>
      </c>
      <c r="E30">
        <f>E27-E25</f>
        <v>8.9999999999999858E-2</v>
      </c>
      <c r="F30">
        <f t="shared" ref="F30:H30" si="5">F27-F25</f>
        <v>0.17000000000000171</v>
      </c>
      <c r="G30">
        <f t="shared" si="5"/>
        <v>0.16999999999999993</v>
      </c>
      <c r="H30">
        <f t="shared" si="5"/>
        <v>0.22999999999999687</v>
      </c>
      <c r="J30" s="36">
        <f>AVERAGE(E30:H30)</f>
        <v>0.16499999999999959</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9</vt:i4>
      </vt:variant>
    </vt:vector>
  </HeadingPairs>
  <TitlesOfParts>
    <vt:vector size="9" baseType="lpstr">
      <vt:lpstr>Aannames</vt:lpstr>
      <vt:lpstr>MarketCap</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2020-08-07T08:51:34Z</dcterms:modified>
</cp:coreProperties>
</file>