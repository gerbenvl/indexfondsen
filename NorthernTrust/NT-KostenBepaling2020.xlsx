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D:\GoogleDrive\Financieel\Aandelen\KeuzeWelkIndexFonds\PerFonds\NorthernTrust\"/>
    </mc:Choice>
  </mc:AlternateContent>
  <xr:revisionPtr revIDLastSave="0" documentId="13_ncr:1_{79285619-07EF-4BA5-96C3-67C414ECE6EE}" xr6:coauthVersionLast="45" xr6:coauthVersionMax="45" xr10:uidLastSave="{00000000-0000-0000-0000-000000000000}"/>
  <bookViews>
    <workbookView xWindow="-120" yWindow="-120" windowWidth="29040" windowHeight="15840" activeTab="2" xr2:uid="{00000000-000D-0000-FFFF-FFFF00000000}"/>
  </bookViews>
  <sheets>
    <sheet name="Aannames" sheetId="4" r:id="rId1"/>
    <sheet name="MarketCap" sheetId="7" r:id="rId2"/>
    <sheet name="World" sheetId="1" r:id="rId3"/>
    <sheet name="Emerging" sheetId="5" r:id="rId4"/>
    <sheet name="SmallCaps" sheetId="6" r:id="rId5"/>
    <sheet name="Northern Trust Master fondsen" sheetId="2" r:id="rId6"/>
    <sheet name="Tracking Difference" sheetId="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15" i="5" l="1"/>
  <c r="H12" i="5"/>
  <c r="C21" i="1"/>
  <c r="C17" i="1" l="1"/>
  <c r="H14" i="1"/>
  <c r="I6" i="7" l="1"/>
  <c r="I7" i="7"/>
  <c r="I5" i="7"/>
  <c r="H8" i="7"/>
  <c r="C17" i="5" l="1"/>
  <c r="H16" i="7" l="1"/>
  <c r="H9" i="7"/>
  <c r="H13" i="7"/>
  <c r="H12" i="7"/>
  <c r="H7" i="7"/>
  <c r="H6" i="7"/>
  <c r="H5" i="7"/>
  <c r="C9" i="7" l="1"/>
  <c r="C20" i="5"/>
  <c r="K6" i="7" s="1"/>
  <c r="L6" i="7" s="1"/>
  <c r="C19" i="5"/>
  <c r="C16" i="5"/>
  <c r="C19" i="1"/>
  <c r="C22" i="1" s="1"/>
  <c r="K5" i="7" s="1"/>
  <c r="L5" i="7" s="1"/>
  <c r="H10" i="6"/>
  <c r="F8" i="6"/>
  <c r="H8" i="6" s="1"/>
  <c r="F7" i="6"/>
  <c r="H7" i="6" s="1"/>
  <c r="F13" i="5"/>
  <c r="E13" i="5"/>
  <c r="D13" i="5"/>
  <c r="C13" i="5"/>
  <c r="F12" i="5"/>
  <c r="E12" i="5"/>
  <c r="D12" i="5"/>
  <c r="C12" i="5"/>
  <c r="H8" i="5"/>
  <c r="F7" i="5"/>
  <c r="E7" i="5"/>
  <c r="D7" i="5"/>
  <c r="C7" i="5"/>
  <c r="C18" i="1"/>
  <c r="J16" i="3"/>
  <c r="I16" i="3"/>
  <c r="H16" i="3"/>
  <c r="G16" i="3"/>
  <c r="J15" i="3"/>
  <c r="I15" i="3"/>
  <c r="H15" i="3"/>
  <c r="G15" i="3"/>
  <c r="J7" i="3"/>
  <c r="I7" i="3"/>
  <c r="H7" i="3"/>
  <c r="G7" i="3"/>
  <c r="M7" i="3" s="1"/>
  <c r="J6" i="3"/>
  <c r="I6" i="3"/>
  <c r="H6" i="3"/>
  <c r="G6" i="3"/>
  <c r="H7" i="5" l="1"/>
  <c r="H13" i="5"/>
  <c r="C17" i="6"/>
  <c r="F9" i="6"/>
  <c r="C20" i="6" s="1"/>
  <c r="K7" i="7" s="1"/>
  <c r="L7" i="7" s="1"/>
  <c r="L8" i="7" s="1"/>
  <c r="L15" i="3"/>
  <c r="M16" i="3"/>
  <c r="L6" i="3"/>
  <c r="D15" i="1"/>
  <c r="E15" i="1"/>
  <c r="F15" i="1"/>
  <c r="C15" i="1"/>
  <c r="D14" i="1"/>
  <c r="E14" i="1"/>
  <c r="F14" i="1"/>
  <c r="C14" i="1"/>
  <c r="H15" i="1" l="1"/>
  <c r="D6" i="2"/>
  <c r="E6" i="2"/>
  <c r="F6" i="2"/>
  <c r="G12" i="2"/>
  <c r="F7" i="1"/>
  <c r="E7" i="1"/>
  <c r="D7" i="1"/>
  <c r="C7" i="1"/>
  <c r="H10" i="1" l="1"/>
  <c r="G5" i="2"/>
  <c r="G6" i="2" s="1"/>
  <c r="D8" i="1" l="1"/>
  <c r="D9" i="1" s="1"/>
  <c r="C8" i="1"/>
  <c r="E8" i="1"/>
  <c r="E9" i="1" s="1"/>
  <c r="C9" i="1" l="1"/>
  <c r="F8" i="1" l="1"/>
  <c r="F9" i="1" s="1"/>
  <c r="H9"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tc={32D85BBB-ADB9-436B-A8F2-4522899AD645}</author>
  </authors>
  <commentList>
    <comment ref="B6" authorId="0" shapeId="0" xr:uid="{32D85BBB-ADB9-436B-A8F2-4522899AD645}">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tc={BF773089-6A80-4D88-B46A-4941C8ADCD1E}</author>
  </authors>
  <commentList>
    <comment ref="B6" authorId="0" shapeId="0" xr:uid="{BF773089-6A80-4D88-B46A-4941C8ADCD1E}">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tc={4D1B1C4B-AE9C-4A11-936A-B15013E0FFB6}</author>
  </authors>
  <commentList>
    <comment ref="B6" authorId="0" shapeId="0" xr:uid="{4D1B1C4B-AE9C-4A11-936A-B15013E0FFB6}">
      <text>
        <t>[Opmerkingenthread]
U kunt deze opmerkingenthread lezen in uw versie van Excel. Eventuele wijzigingen aan de thread gaan echter verloren als het bestand wordt geopend in een nieuwere versie van Excel. Meer informatie: https://go.microsoft.com/fwlink/?linkid=870924
Opmerking:
    Uit 22. Portfolio Turnover Rate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tc={BD318717-9F6E-4FE6-947A-CC33FA9CC4E4}</author>
    <author>tc={05F2B683-9025-489A-BD44-3439A44FEE41}</author>
  </authors>
  <commentList>
    <comment ref="B5" authorId="0" shapeId="0" xr:uid="{BD318717-9F6E-4FE6-947A-CC33FA9CC4E4}">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 ref="B11" authorId="1" shapeId="0" xr:uid="{05F2B683-9025-489A-BD44-3439A44FEE41}">
      <text>
        <t>[Opmerkingenthread]
U kunt deze opmerkingenthread lezen in uw versie van Excel. Eventuele wijzigingen aan de thread gaan echter verloren als het bestand wordt geopend in een nieuwere versie van Excel. Meer informatie: https://go.microsoft.com/fwlink/?linkid=870924
Opmerking:
    "Net assets attributable to holders of redeemable participating
units" genomen uit "STATEMENT OF FINANCIAL POSITION"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L2" authorId="0" shapeId="0" xr:uid="{434CD842-3C43-4334-B2E1-FAF0941512B8}">
      <text>
        <r>
          <rPr>
            <b/>
            <sz val="9"/>
            <color indexed="81"/>
            <rFont val="Tahoma"/>
            <family val="2"/>
          </rPr>
          <t>Gerben:</t>
        </r>
        <r>
          <rPr>
            <sz val="9"/>
            <color indexed="81"/>
            <rFont val="Tahoma"/>
            <family val="2"/>
          </rPr>
          <t xml:space="preserve">
Tracking Difference</t>
        </r>
      </text>
    </comment>
    <comment ref="M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t>
        </r>
      </text>
    </comment>
    <comment ref="B13"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List>
</comments>
</file>

<file path=xl/sharedStrings.xml><?xml version="1.0" encoding="utf-8"?>
<sst xmlns="http://schemas.openxmlformats.org/spreadsheetml/2006/main" count="143" uniqueCount="95">
  <si>
    <t>Transaction costs and interest expenses are excluded from the calculation.</t>
  </si>
  <si>
    <t>Transaction costs</t>
  </si>
  <si>
    <t>Northern Trust Emerging Markets Custom ESG Equity Index UCITS FGR Fund €</t>
  </si>
  <si>
    <t>Northern Trust World Custom ESG Equity Index UCITS FGR Feeder Fund €</t>
  </si>
  <si>
    <t>TER</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</si>
  <si>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</si>
  <si>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</si>
  <si>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</si>
  <si>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</si>
  <si>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</si>
  <si>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</si>
  <si>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</si>
  <si>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</si>
  <si>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</si>
  <si>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</si>
  <si>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</si>
  <si>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</si>
  <si>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</si>
  <si>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</si>
  <si>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</si>
  <si>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</si>
  <si>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</si>
  <si>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Kosten gemiddeld</t>
  </si>
  <si>
    <t>09-2015 gestart. Feeder naar: Northern Trust World Custom ESG Equity Index Fund</t>
  </si>
  <si>
    <t>12-2015 gestart. Geen feeder</t>
  </si>
  <si>
    <t>06-2019 gestart. Feeder naar Northern Trust World Small Cap ESG Low Carbon Index Fund</t>
  </si>
  <si>
    <t>Bij de world feeder worden er namelijk bijna geen kosten gemeld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</si>
  <si>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</si>
  <si>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</si>
  <si>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</si>
  <si>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</si>
  <si>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</si>
  <si>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</si>
  <si>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</si>
  <si>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Aanname 100% dividend efficient. NT antwoord daar niet op aan mij.</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</si>
  <si>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</si>
  <si>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</si>
  <si>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</si>
  <si>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</si>
  <si>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</si>
  <si>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</si>
  <si>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</si>
  <si>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</si>
  <si>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</si>
  <si>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Gok kosten toekomst</t>
  </si>
  <si>
    <t>Nog niet te geven vanwege transactiekosten en nu aan het opstarten is. Zal wat zakken tov nu, maar blijft wel small caps dus veel posities</t>
  </si>
  <si>
    <t>Bij iShares kan ik nog achteruit doordat de TER dagelijks in rekening wordt gebracht en er vermeld staat hoeveel er op jaarbasis</t>
  </si>
  <si>
    <t>in rekening is gebracht, bij NT is dat niet los te vinden, moet dan los gaan optellen wat er onder de TER valt van de kosten rekening</t>
  </si>
  <si>
    <t>zou preciezer zijn, maar de bedragen zijn zo laag dat het waarschijnlijk geen verschil maakt</t>
  </si>
  <si>
    <t>Operating costs</t>
  </si>
  <si>
    <t>Rente</t>
  </si>
  <si>
    <t>Allen maar 1x per jaar dividend uitkering, lopende dividenden worden wel meteen geinvesteerd?</t>
  </si>
  <si>
    <t>% OC</t>
  </si>
  <si>
    <t>% OC + Rente</t>
  </si>
  <si>
    <t>TD</t>
  </si>
  <si>
    <t>OPNI</t>
  </si>
  <si>
    <t>Northern trust World Custom ESG Equity</t>
  </si>
  <si>
    <t>MSCI custom ESG (EUR) gross</t>
  </si>
  <si>
    <t>MSCI custom ESG (EUR) net</t>
  </si>
  <si>
    <t>Vs gross</t>
  </si>
  <si>
    <t>Vs net</t>
  </si>
  <si>
    <t>NORTHERN TRUST EMERGING MARKETS CUSTOM ESG EQUITY</t>
  </si>
  <si>
    <t>Tracking difference</t>
  </si>
  <si>
    <t>De TER heeft veel gewisseld, world wordt duurder als er meer vermogen in zit. Raar</t>
  </si>
  <si>
    <t>Gat met kosten benadering</t>
  </si>
  <si>
    <t>Tussen de kosten benadering en tracking difference zit best een gat:</t>
  </si>
  <si>
    <t>Dividend herinvestering drag?</t>
  </si>
  <si>
    <t>Tax drag?</t>
  </si>
  <si>
    <t>TER en transactie</t>
  </si>
  <si>
    <t>Schatting tracking diff toekomst</t>
  </si>
  <si>
    <t>Alle kosten inc eventueel lek en drag</t>
  </si>
  <si>
    <t>(over zelfde periode)</t>
  </si>
  <si>
    <t>TER wisselingen</t>
  </si>
  <si>
    <t>Tussen de kosten benadering en tracking difference zit een kleiner gat als bij world</t>
  </si>
  <si>
    <t>MSCI ACWI IMI</t>
  </si>
  <si>
    <t>MSCI World</t>
  </si>
  <si>
    <t>MSCI World SC</t>
  </si>
  <si>
    <t>MSCI Emerging</t>
  </si>
  <si>
    <t>EM small caps</t>
  </si>
  <si>
    <t>+</t>
  </si>
  <si>
    <t>cross check</t>
  </si>
  <si>
    <t>NT World</t>
  </si>
  <si>
    <t>NT Small</t>
  </si>
  <si>
    <t>NT Em</t>
  </si>
  <si>
    <t>Uitsluitingen</t>
  </si>
  <si>
    <t>Kosten</t>
  </si>
  <si>
    <t>TER en transactiekosten</t>
  </si>
  <si>
    <t>2016-2019</t>
  </si>
  <si>
    <t>De in rekening gebrachte TER lijkt soms lager als wat er in rekening gebracht had moeten worden</t>
  </si>
  <si>
    <t>Toch nog wat dividend lekkage?</t>
  </si>
  <si>
    <t>Optimized selectie?</t>
  </si>
  <si>
    <t>Of in begin gewoon goedkoop geweest om vermogen aan te trekken?</t>
  </si>
  <si>
    <t>Of de average net asset value klopt niet</t>
  </si>
  <si>
    <t>De in rekening gebrachte TER lijkt soms anders als wat er in rekening gebracht had moeten worden</t>
  </si>
  <si>
    <t>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</si>
</sst>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quot;€&quot;\ * #,##0.00_ ;_ &quot;€&quot;\ * \-#,##0.00_ ;_ &quot;€&quot;\ * &quot;-&quot;??_ ;_ @_ "/>
    <numFmt numFmtId="43" formatCode="_ * #,##0.00_ ;_ * \-#,##0.00_ ;_ * &quot;-&quot;??_ ;_ @_ "/>
    <numFmt numFmtId="164" formatCode="_ &quot;€&quot;\ * #,##0_ ;_ &quot;€&quot;\ * \-#,##0_ ;_ &quot;€&quot;\ * &quot;-&quot;??_ ;_ @_ "/>
    <numFmt numFmtId="165" formatCode="0.000%"/>
    <numFmt numFmtId="166" formatCode="0.0000%"/>
    <numFmt numFmtId="167" formatCode="0.000"/>
    <numFmt numFmtId="168"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3">
    <fill>
      <patternFill patternType="none"/>
    </fill>
    <fill>
      <patternFill patternType="gray125"/>
    </fill>
    <fill>
      <patternFill patternType="solid">
        <fgColor theme="4" tint="0.59999389629810485"/>
        <bgColor indexed="64"/>
      </patternFill>
    </fill>
  </fills>
  <borders count="2">
    <border>
      <left/>
      <right/>
      <top/>
      <bottom/>
      <diagonal/>
    </border>
    <border>
      <left/>
      <right/>
      <top style="double">
        <color auto="1"/>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37">
    <xf numFmtId="0" fontId="0" fillId="0" borderId="0" xfId="0"/>
    <xf numFmtId="0" fontId="2" fillId="0" borderId="0" xfId="0" applyFont="1"/>
    <xf numFmtId="0" fontId="0" fillId="0" borderId="0" xfId="0" applyFont="1"/>
    <xf numFmtId="164" fontId="0" fillId="0" borderId="0" xfId="0" applyNumberFormat="1"/>
    <xf numFmtId="10" fontId="0" fillId="0" borderId="0" xfId="1" applyNumberFormat="1" applyFont="1"/>
    <xf numFmtId="165" fontId="0" fillId="0" borderId="0" xfId="1" applyNumberFormat="1" applyFont="1"/>
    <xf numFmtId="165" fontId="0" fillId="0" borderId="0" xfId="0" applyNumberFormat="1"/>
    <xf numFmtId="10" fontId="0" fillId="0" borderId="0" xfId="0" applyNumberFormat="1"/>
    <xf numFmtId="166" fontId="0" fillId="0" borderId="0" xfId="1" applyNumberFormat="1" applyFont="1"/>
    <xf numFmtId="0" fontId="3" fillId="0" borderId="0" xfId="0" applyFont="1"/>
    <xf numFmtId="0" fontId="0" fillId="2" borderId="0" xfId="0" applyFont="1" applyFill="1"/>
    <xf numFmtId="0" fontId="2" fillId="2" borderId="0" xfId="0" applyFont="1" applyFill="1"/>
    <xf numFmtId="0" fontId="0" fillId="2" borderId="0" xfId="0" applyFill="1"/>
    <xf numFmtId="164" fontId="0" fillId="0" borderId="0" xfId="2" applyNumberFormat="1" applyFont="1"/>
    <xf numFmtId="165" fontId="3" fillId="0" borderId="0" xfId="0" applyNumberFormat="1" applyFont="1"/>
    <xf numFmtId="166" fontId="3" fillId="0" borderId="0" xfId="0" applyNumberFormat="1" applyFont="1"/>
    <xf numFmtId="0" fontId="0" fillId="0" borderId="0" xfId="0" applyAlignment="1">
      <alignment vertical="top" wrapText="1"/>
    </xf>
    <xf numFmtId="164"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applyAlignment="1">
      <alignment horizontal="right"/>
    </xf>
    <xf numFmtId="0" fontId="9" fillId="0" borderId="0" xfId="0" applyFont="1"/>
    <xf numFmtId="2" fontId="8" fillId="0" borderId="0" xfId="0" applyNumberFormat="1" applyFont="1"/>
    <xf numFmtId="167" fontId="8" fillId="0" borderId="0" xfId="0" applyNumberFormat="1" applyFont="1"/>
    <xf numFmtId="168" fontId="0" fillId="0" borderId="0" xfId="1" applyNumberFormat="1" applyFont="1"/>
    <xf numFmtId="0" fontId="3" fillId="0" borderId="0" xfId="0" applyFont="1" applyAlignment="1"/>
    <xf numFmtId="0" fontId="0" fillId="0" borderId="1" xfId="0" applyBorder="1"/>
    <xf numFmtId="43" fontId="0" fillId="0" borderId="0" xfId="3" applyFont="1"/>
    <xf numFmtId="43" fontId="0" fillId="0" borderId="1" xfId="3" applyFont="1" applyBorder="1"/>
    <xf numFmtId="43" fontId="0" fillId="0" borderId="0" xfId="0" applyNumberFormat="1"/>
    <xf numFmtId="9" fontId="0" fillId="0" borderId="0" xfId="1" applyFont="1"/>
    <xf numFmtId="0" fontId="3" fillId="0" borderId="0" xfId="0" applyFont="1" applyAlignment="1">
      <alignment horizontal="left" vertical="top" wrapText="1"/>
    </xf>
    <xf numFmtId="10" fontId="2" fillId="0" borderId="0" xfId="0" applyNumberFormat="1" applyFont="1"/>
    <xf numFmtId="10" fontId="0" fillId="0" borderId="0" xfId="0" applyNumberFormat="1" applyFont="1"/>
  </cellXfs>
  <cellStyles count="4">
    <cellStyle name="Komma" xfId="3" builtinId="3"/>
    <cellStyle name="Procent" xfId="1" builtinId="5"/>
    <cellStyle name="Standaard" xfId="0" builtinId="0"/>
    <cellStyle name="Valuta" xfId="2" builtinI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erben van Loon" id="{A4396B54-26D6-4DB8-90A1-70B73ABD3ACC}" userId="S::gerben@gerbenvanloonengineering.nl::afe8845f-8ac3-4ac0-a0e6-085833b559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 dT="2020-06-12T12:38:54.75" personId="{A4396B54-26D6-4DB8-90A1-70B73ABD3ACC}" id="{32D85BBB-ADB9-436B-A8F2-4522899AD645}">
    <text>Uit 22. Portfolio Turnover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B6" dT="2020-06-12T12:38:54.75" personId="{A4396B54-26D6-4DB8-90A1-70B73ABD3ACC}" id="{BF773089-6A80-4D88-B46A-4941C8ADCD1E}">
    <text>Uit 22. Portfolio Turnover Rate</text>
  </threadedComment>
</ThreadedComments>
</file>

<file path=xl/threadedComments/threadedComment3.xml><?xml version="1.0" encoding="utf-8"?>
<ThreadedComments xmlns="http://schemas.microsoft.com/office/spreadsheetml/2018/threadedcomments" xmlns:x="http://schemas.openxmlformats.org/spreadsheetml/2006/main">
  <threadedComment ref="B6" dT="2020-06-12T12:38:54.75" personId="{A4396B54-26D6-4DB8-90A1-70B73ABD3ACC}" id="{4D1B1C4B-AE9C-4A11-936A-B15013E0FFB6}">
    <text>Uit 22. Portfolio Turnover Rate</text>
  </threadedComment>
</ThreadedComments>
</file>

<file path=xl/threadedComments/threadedComment4.xml><?xml version="1.0" encoding="utf-8"?>
<ThreadedComments xmlns="http://schemas.microsoft.com/office/spreadsheetml/2018/threadedcomments" xmlns:x="http://schemas.openxmlformats.org/spreadsheetml/2006/main">
  <threadedComment ref="B5" dT="2020-06-17T17:48:02.75" personId="{A4396B54-26D6-4DB8-90A1-70B73ABD3ACC}" id="{BD318717-9F6E-4FE6-947A-CC33FA9CC4E4}">
    <text>"Net assets attributable to holders of redeemable participating
units" genomen uit "STATEMENT OF FINANCIAL POSITION"</text>
  </threadedComment>
  <threadedComment ref="B11" dT="2020-06-17T17:48:02.75" personId="{A4396B54-26D6-4DB8-90A1-70B73ABD3ACC}" id="{05F2B683-9025-489A-BD44-3439A44FEE41}">
    <text>"Net assets attributable to holders of redeemable participating
units" genomen uit "STATEMENT OF FINANCIAL POSITION"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30"/>
  <sheetViews>
    <sheetView workbookViewId="0">
      <selection activeCell="B33" sqref="B33"/>
    </sheetView>
  </sheetViews>
  <sheetFormatPr defaultRowHeight="15" x14ac:dyDescent="0.25"/>
  <cols>
    <col min="2" max="2" width="114.28515625" customWidth="1"/>
  </cols>
  <sheetData>
    <row r="2" spans="2:2" x14ac:dyDescent="0.25">
      <c r="B2" s="1" t="s">
        <v>27</v>
      </c>
    </row>
    <row r="3" spans="2:2" x14ac:dyDescent="0.25">
      <c r="B3" s="9" t="s">
        <v>33</v>
      </c>
    </row>
    <row r="4" spans="2:2" x14ac:dyDescent="0.25">
      <c r="B4" s="9" t="s">
        <v>5</v>
      </c>
    </row>
    <row r="5" spans="2:2" x14ac:dyDescent="0.25">
      <c r="B5" s="9" t="s">
        <v>6</v>
      </c>
    </row>
    <row r="6" spans="2:2" x14ac:dyDescent="0.25">
      <c r="B6" s="28" t="s">
        <v>7</v>
      </c>
    </row>
    <row r="7" spans="2:2" x14ac:dyDescent="0.25">
      <c r="B7" s="28" t="s">
        <v>0</v>
      </c>
    </row>
    <row r="8" spans="2:2" x14ac:dyDescent="0.25">
      <c r="B8" s="9"/>
    </row>
    <row r="9" spans="2:2" x14ac:dyDescent="0.25">
      <c r="B9" s="34" t="s">
        <v>36</v>
      </c>
    </row>
    <row r="10" spans="2:2" x14ac:dyDescent="0.25">
      <c r="B10" s="34"/>
    </row>
    <row r="11" spans="2:2" x14ac:dyDescent="0.25">
      <c r="B11" s="34"/>
    </row>
    <row r="12" spans="2:2" x14ac:dyDescent="0.25">
      <c r="B12" s="16"/>
    </row>
    <row r="13" spans="2:2" x14ac:dyDescent="0.25">
      <c r="B13" s="2" t="s">
        <v>15</v>
      </c>
    </row>
    <row r="14" spans="2:2" x14ac:dyDescent="0.25">
      <c r="B14" s="2" t="s">
        <v>37</v>
      </c>
    </row>
    <row r="15" spans="2:2" x14ac:dyDescent="0.25">
      <c r="B15" s="2" t="s">
        <v>38</v>
      </c>
    </row>
    <row r="16" spans="2:2" x14ac:dyDescent="0.25">
      <c r="B16" s="2"/>
    </row>
    <row r="17" spans="2:2" x14ac:dyDescent="0.25">
      <c r="B17" s="2" t="s">
        <v>31</v>
      </c>
    </row>
    <row r="18" spans="2:2" x14ac:dyDescent="0.25">
      <c r="B18" s="2" t="s">
        <v>26</v>
      </c>
    </row>
    <row r="19" spans="2:2" x14ac:dyDescent="0.25">
      <c r="B19" s="2" t="s">
        <v>30</v>
      </c>
    </row>
    <row r="21" spans="2:2" x14ac:dyDescent="0.25">
      <c r="B21" s="2" t="s">
        <v>32</v>
      </c>
    </row>
    <row r="22" spans="2:2" x14ac:dyDescent="0.25">
      <c r="B22" s="2"/>
    </row>
    <row r="23" spans="2:2" x14ac:dyDescent="0.25">
      <c r="B23" s="2" t="s">
        <v>34</v>
      </c>
    </row>
    <row r="24" spans="2:2" x14ac:dyDescent="0.25">
      <c r="B24" s="2"/>
    </row>
    <row r="25" spans="2:2" x14ac:dyDescent="0.25">
      <c r="B25" s="2" t="s">
        <v>42</v>
      </c>
    </row>
    <row r="26" spans="2:2" x14ac:dyDescent="0.25">
      <c r="B26" s="2" t="s">
        <v>35</v>
      </c>
    </row>
    <row r="28" spans="2:2" x14ac:dyDescent="0.25">
      <c r="B28" s="2" t="s">
        <v>51</v>
      </c>
    </row>
    <row r="29" spans="2:2" x14ac:dyDescent="0.25">
      <c r="B29" s="2"/>
    </row>
    <row r="30" spans="2:2" x14ac:dyDescent="0.25">
      <c r="B30" s="2"/>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6687D-2650-40D8-BB0F-4784280BA24F}">
  <dimension ref="B2:L16"/>
  <sheetViews>
    <sheetView workbookViewId="0">
      <selection activeCell="L8" sqref="L8"/>
    </sheetView>
  </sheetViews>
  <sheetFormatPr defaultRowHeight="15" x14ac:dyDescent="0.25"/>
  <cols>
    <col min="2" max="2" width="20.140625" customWidth="1"/>
    <col min="3" max="3" width="14" customWidth="1"/>
    <col min="6" max="6" width="11.140625" customWidth="1"/>
    <col min="7" max="7" width="15.42578125" customWidth="1"/>
    <col min="8" max="8" width="13.7109375" bestFit="1" customWidth="1"/>
  </cols>
  <sheetData>
    <row r="2" spans="2:12" x14ac:dyDescent="0.25">
      <c r="B2" t="s">
        <v>74</v>
      </c>
      <c r="C2" s="30">
        <v>53732257.130000003</v>
      </c>
    </row>
    <row r="3" spans="2:12" x14ac:dyDescent="0.25">
      <c r="C3" s="30"/>
    </row>
    <row r="4" spans="2:12" x14ac:dyDescent="0.25">
      <c r="C4" s="30"/>
      <c r="G4" t="s">
        <v>84</v>
      </c>
      <c r="K4" t="s">
        <v>85</v>
      </c>
    </row>
    <row r="5" spans="2:12" x14ac:dyDescent="0.25">
      <c r="B5" t="s">
        <v>75</v>
      </c>
      <c r="C5" s="30">
        <v>41819772.990000002</v>
      </c>
      <c r="F5" t="s">
        <v>81</v>
      </c>
      <c r="G5" s="7">
        <v>5.5E-2</v>
      </c>
      <c r="H5" s="32">
        <f>C5*(100%-G5)</f>
        <v>39519685.475550003</v>
      </c>
      <c r="I5" s="33">
        <f>H5/$H$8</f>
        <v>0.79995450026850634</v>
      </c>
      <c r="K5" s="4">
        <f>World!C22</f>
        <v>2.7774370256142822E-3</v>
      </c>
      <c r="L5" s="6">
        <f>I5*K5</f>
        <v>2.2218232478525197E-3</v>
      </c>
    </row>
    <row r="6" spans="2:12" x14ac:dyDescent="0.25">
      <c r="B6" t="s">
        <v>76</v>
      </c>
      <c r="C6" s="30">
        <v>5480574.1299999999</v>
      </c>
      <c r="F6" t="s">
        <v>82</v>
      </c>
      <c r="G6" s="7">
        <v>0.17699999999999999</v>
      </c>
      <c r="H6" s="32">
        <f>C6*(100%-G6)</f>
        <v>4510512.50899</v>
      </c>
      <c r="I6" s="33">
        <f t="shared" ref="I6:I7" si="0">H6/$H$8</f>
        <v>9.1301454874084517E-2</v>
      </c>
      <c r="K6" s="4">
        <f>Emerging!C20</f>
        <v>3.2179250940653479E-3</v>
      </c>
      <c r="L6" s="6">
        <f t="shared" ref="L6:L7" si="1">I6*K6</f>
        <v>2.9380124276399153E-4</v>
      </c>
    </row>
    <row r="7" spans="2:12" x14ac:dyDescent="0.25">
      <c r="B7" t="s">
        <v>77</v>
      </c>
      <c r="C7" s="30">
        <v>5789028.6699999999</v>
      </c>
      <c r="F7" t="s">
        <v>83</v>
      </c>
      <c r="G7" s="7">
        <v>7.1999999999999995E-2</v>
      </c>
      <c r="H7" s="32">
        <f>C7*(100%-G7)</f>
        <v>5372218.6057600006</v>
      </c>
      <c r="I7" s="33">
        <f t="shared" si="0"/>
        <v>0.10874404485740921</v>
      </c>
      <c r="K7" s="4">
        <f>SmallCaps!C20</f>
        <v>3.9817641220565667E-3</v>
      </c>
      <c r="L7" s="6">
        <f t="shared" si="1"/>
        <v>4.3299313630054188E-4</v>
      </c>
    </row>
    <row r="8" spans="2:12" ht="15.75" thickBot="1" x14ac:dyDescent="0.3">
      <c r="B8" t="s">
        <v>78</v>
      </c>
      <c r="C8" s="30">
        <v>642881.34999999963</v>
      </c>
      <c r="D8" t="s">
        <v>79</v>
      </c>
      <c r="H8" s="32">
        <f>SUM(H5:H7)</f>
        <v>49402416.590300001</v>
      </c>
      <c r="L8" s="6">
        <f>SUM(L5:L7)</f>
        <v>2.9486176269170532E-3</v>
      </c>
    </row>
    <row r="9" spans="2:12" ht="15.75" thickTop="1" x14ac:dyDescent="0.25">
      <c r="B9" s="29" t="s">
        <v>80</v>
      </c>
      <c r="C9" s="31">
        <f>SUM(C5:C8)</f>
        <v>53732257.140000008</v>
      </c>
      <c r="H9" s="27">
        <f>SUM(H5:H7)/C2</f>
        <v>0.91941822713264454</v>
      </c>
    </row>
    <row r="11" spans="2:12" x14ac:dyDescent="0.25">
      <c r="G11" t="s">
        <v>84</v>
      </c>
    </row>
    <row r="12" spans="2:12" x14ac:dyDescent="0.25">
      <c r="F12" t="s">
        <v>81</v>
      </c>
      <c r="G12" s="7">
        <v>5.5E-2</v>
      </c>
      <c r="H12" s="32">
        <f>C5*(100%-G12)</f>
        <v>39519685.475550003</v>
      </c>
    </row>
    <row r="13" spans="2:12" x14ac:dyDescent="0.25">
      <c r="F13" t="s">
        <v>83</v>
      </c>
      <c r="G13" s="7">
        <v>7.1999999999999995E-2</v>
      </c>
      <c r="H13" s="32">
        <f>C7*(100%-G13)</f>
        <v>5372218.6057600006</v>
      </c>
    </row>
    <row r="16" spans="2:12" x14ac:dyDescent="0.25">
      <c r="H16" s="27">
        <f>SUM(H12:H13)/C2</f>
        <v>0.83547400535768268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22"/>
  <sheetViews>
    <sheetView tabSelected="1" zoomScaleNormal="100" workbookViewId="0"/>
  </sheetViews>
  <sheetFormatPr defaultRowHeight="15" x14ac:dyDescent="0.25"/>
  <cols>
    <col min="2" max="2" width="32.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3</v>
      </c>
      <c r="C2" s="10"/>
      <c r="D2" s="10"/>
      <c r="E2" s="10"/>
      <c r="F2" s="10"/>
      <c r="G2" s="10"/>
      <c r="H2" s="10"/>
      <c r="J2" s="1" t="s">
        <v>28</v>
      </c>
    </row>
    <row r="3" spans="2:10" x14ac:dyDescent="0.25">
      <c r="B3" t="s">
        <v>23</v>
      </c>
      <c r="J3" t="s">
        <v>63</v>
      </c>
    </row>
    <row r="4" spans="2:10" x14ac:dyDescent="0.25">
      <c r="C4" s="1">
        <v>2016</v>
      </c>
      <c r="D4" s="1">
        <v>2017</v>
      </c>
      <c r="E4" s="1">
        <v>2018</v>
      </c>
      <c r="F4" s="1">
        <v>2019</v>
      </c>
      <c r="G4" s="1"/>
      <c r="H4" s="1" t="s">
        <v>14</v>
      </c>
      <c r="J4" t="s">
        <v>91</v>
      </c>
    </row>
    <row r="5" spans="2:10" x14ac:dyDescent="0.25">
      <c r="B5" s="2" t="s">
        <v>1</v>
      </c>
      <c r="C5" s="13">
        <v>0</v>
      </c>
      <c r="D5" s="13">
        <v>0</v>
      </c>
      <c r="E5" s="13">
        <v>0</v>
      </c>
      <c r="F5" s="13">
        <v>22294</v>
      </c>
      <c r="G5" s="3"/>
    </row>
    <row r="6" spans="2:10" x14ac:dyDescent="0.25">
      <c r="B6" s="2" t="s">
        <v>8</v>
      </c>
      <c r="C6" s="13">
        <v>607319449</v>
      </c>
      <c r="D6" s="13">
        <v>1151302913</v>
      </c>
      <c r="E6" s="13">
        <v>1781058053</v>
      </c>
      <c r="F6" s="13">
        <v>2673847808</v>
      </c>
      <c r="G6" s="3"/>
      <c r="J6" t="s">
        <v>43</v>
      </c>
    </row>
    <row r="7" spans="2:10" x14ac:dyDescent="0.25">
      <c r="B7" s="2" t="s">
        <v>16</v>
      </c>
      <c r="C7" s="5">
        <f>C5/C6</f>
        <v>0</v>
      </c>
      <c r="D7" s="5">
        <f t="shared" ref="D7:F7" si="0">D5/D6</f>
        <v>0</v>
      </c>
      <c r="E7" s="5">
        <f t="shared" si="0"/>
        <v>0</v>
      </c>
      <c r="F7" s="5">
        <f t="shared" si="0"/>
        <v>8.3377969132340379E-6</v>
      </c>
      <c r="G7" s="5"/>
      <c r="H7" s="6"/>
      <c r="I7" s="4"/>
    </row>
    <row r="8" spans="2:10" ht="15" customHeight="1" x14ac:dyDescent="0.25">
      <c r="B8" s="2" t="s">
        <v>17</v>
      </c>
      <c r="C8" s="5">
        <f>'Northern Trust Master fondsen'!D6</f>
        <v>1.3528648432442348E-4</v>
      </c>
      <c r="D8" s="5">
        <f>'Northern Trust Master fondsen'!E6</f>
        <v>4.4782844092559127E-5</v>
      </c>
      <c r="E8" s="5">
        <f>'Northern Trust Master fondsen'!F6</f>
        <v>4.2300110328596436E-5</v>
      </c>
      <c r="F8" s="5">
        <f>'Northern Trust Master fondsen'!G6</f>
        <v>4.6130035609743487E-5</v>
      </c>
      <c r="G8" s="5"/>
      <c r="H8" s="6"/>
      <c r="J8" t="s">
        <v>88</v>
      </c>
    </row>
    <row r="9" spans="2:10" ht="15" customHeight="1" x14ac:dyDescent="0.25">
      <c r="B9" s="2" t="s">
        <v>29</v>
      </c>
      <c r="C9" s="5">
        <f>SUM(C7:C8)</f>
        <v>1.3528648432442348E-4</v>
      </c>
      <c r="D9" s="5">
        <f t="shared" ref="D9:F9" si="1">SUM(D7:D8)</f>
        <v>4.4782844092559127E-5</v>
      </c>
      <c r="E9" s="5">
        <f t="shared" si="1"/>
        <v>4.2300110328596436E-5</v>
      </c>
      <c r="F9" s="5">
        <f t="shared" si="1"/>
        <v>5.4467832522977523E-5</v>
      </c>
      <c r="G9" s="5"/>
      <c r="H9" s="7">
        <f>AVERAGE(C9:G9)</f>
        <v>6.920931781713915E-5</v>
      </c>
      <c r="J9" t="s">
        <v>92</v>
      </c>
    </row>
    <row r="10" spans="2:10" x14ac:dyDescent="0.25">
      <c r="B10" s="2" t="s">
        <v>4</v>
      </c>
      <c r="C10" s="4">
        <v>2.9999999999999997E-4</v>
      </c>
      <c r="D10" s="4">
        <v>2.9999999999999997E-4</v>
      </c>
      <c r="E10" s="4">
        <v>1.1999999999999999E-3</v>
      </c>
      <c r="F10" s="4">
        <v>1.5E-3</v>
      </c>
      <c r="G10" s="5"/>
      <c r="H10" s="7">
        <f t="shared" ref="H10" si="2">AVERAGE(C10:F10)</f>
        <v>8.25E-4</v>
      </c>
    </row>
    <row r="11" spans="2:10" x14ac:dyDescent="0.25">
      <c r="B11" s="2"/>
      <c r="C11" s="4"/>
      <c r="D11" s="4"/>
      <c r="E11" s="4"/>
      <c r="F11" s="4"/>
      <c r="G11" s="5"/>
      <c r="H11" s="7"/>
      <c r="J11" s="1" t="s">
        <v>65</v>
      </c>
    </row>
    <row r="12" spans="2:10" x14ac:dyDescent="0.25">
      <c r="B12" s="2" t="s">
        <v>49</v>
      </c>
      <c r="C12" s="17">
        <v>72708</v>
      </c>
      <c r="D12" s="17">
        <v>323257</v>
      </c>
      <c r="E12" s="17">
        <v>2280765</v>
      </c>
      <c r="F12" s="17">
        <v>3265001</v>
      </c>
      <c r="G12" s="5"/>
      <c r="H12" s="7"/>
      <c r="J12" t="s">
        <v>66</v>
      </c>
    </row>
    <row r="13" spans="2:10" x14ac:dyDescent="0.25">
      <c r="B13" s="2" t="s">
        <v>50</v>
      </c>
      <c r="C13" s="17">
        <v>1794</v>
      </c>
      <c r="D13" s="17">
        <v>4996</v>
      </c>
      <c r="E13" s="17">
        <v>7109</v>
      </c>
      <c r="F13" s="17">
        <v>31761</v>
      </c>
      <c r="G13" s="5"/>
      <c r="H13" s="7"/>
      <c r="J13" t="s">
        <v>67</v>
      </c>
    </row>
    <row r="14" spans="2:10" x14ac:dyDescent="0.25">
      <c r="B14" s="2" t="s">
        <v>52</v>
      </c>
      <c r="C14" s="4">
        <f>C12/C6</f>
        <v>1.1971953165623055E-4</v>
      </c>
      <c r="D14" s="4">
        <f t="shared" ref="D14:F14" si="3">D12/D6</f>
        <v>2.8077493451108816E-4</v>
      </c>
      <c r="E14" s="4">
        <f t="shared" si="3"/>
        <v>1.2805674672750266E-3</v>
      </c>
      <c r="F14" s="4">
        <f t="shared" si="3"/>
        <v>1.2210870754241522E-3</v>
      </c>
      <c r="G14" s="5"/>
      <c r="H14" s="7">
        <f>AVERAGE(C14:F14)</f>
        <v>7.2553725221662438E-4</v>
      </c>
      <c r="J14" t="s">
        <v>89</v>
      </c>
    </row>
    <row r="15" spans="2:10" ht="15" customHeight="1" x14ac:dyDescent="0.25">
      <c r="B15" s="2" t="s">
        <v>53</v>
      </c>
      <c r="C15" s="4">
        <f>(C12+C13)/C6</f>
        <v>1.2267349600391276E-4</v>
      </c>
      <c r="D15" s="4">
        <f t="shared" ref="D15:F15" si="4">(D12+D13)/D6</f>
        <v>2.8511436590102676E-4</v>
      </c>
      <c r="E15" s="4">
        <f t="shared" si="4"/>
        <v>1.2845589149361658E-3</v>
      </c>
      <c r="F15" s="4">
        <f t="shared" si="4"/>
        <v>1.2329654627822408E-3</v>
      </c>
      <c r="G15" s="5"/>
      <c r="H15" s="7">
        <f>AVERAGE(C15:F15)</f>
        <v>7.3132805990583653E-4</v>
      </c>
      <c r="J15" t="s">
        <v>90</v>
      </c>
    </row>
    <row r="16" spans="2:10" ht="15" customHeight="1" x14ac:dyDescent="0.25">
      <c r="B16" s="2"/>
      <c r="D16" s="5"/>
      <c r="E16" s="5"/>
      <c r="F16" s="5"/>
      <c r="G16" s="5"/>
      <c r="H16" s="6"/>
    </row>
    <row r="17" spans="2:9" x14ac:dyDescent="0.25">
      <c r="B17" s="2" t="s">
        <v>22</v>
      </c>
      <c r="C17" s="7">
        <f>H9+H14</f>
        <v>7.947465700337635E-4</v>
      </c>
      <c r="D17" s="5" t="s">
        <v>87</v>
      </c>
      <c r="E17" s="5"/>
      <c r="F17" s="5"/>
      <c r="G17" s="5"/>
      <c r="H17" s="6"/>
    </row>
    <row r="18" spans="2:9" x14ac:dyDescent="0.25">
      <c r="B18" s="2" t="s">
        <v>62</v>
      </c>
      <c r="C18" s="4">
        <f>'Tracking Difference'!L6/100</f>
        <v>2.0250000000000012E-3</v>
      </c>
      <c r="D18" s="5" t="s">
        <v>87</v>
      </c>
      <c r="E18" s="5"/>
      <c r="F18" s="5"/>
      <c r="G18" s="5"/>
      <c r="H18" s="6"/>
    </row>
    <row r="19" spans="2:9" x14ac:dyDescent="0.25">
      <c r="B19" s="2" t="s">
        <v>64</v>
      </c>
      <c r="C19" s="4">
        <f>C18-C17</f>
        <v>1.2302534299662377E-3</v>
      </c>
      <c r="D19" s="5"/>
      <c r="E19" s="5"/>
      <c r="F19" s="5"/>
      <c r="G19" s="5"/>
      <c r="H19" s="6"/>
    </row>
    <row r="20" spans="2:9" x14ac:dyDescent="0.25">
      <c r="B20" s="2"/>
      <c r="C20" s="4"/>
      <c r="D20" s="5"/>
      <c r="E20" s="5"/>
      <c r="F20" s="5"/>
      <c r="G20" s="5"/>
      <c r="H20" s="6"/>
    </row>
    <row r="21" spans="2:9" x14ac:dyDescent="0.25">
      <c r="B21" s="1" t="s">
        <v>21</v>
      </c>
      <c r="C21" s="35">
        <f>F10+AVERAGE(D9:F9)</f>
        <v>1.5471835956480445E-3</v>
      </c>
      <c r="D21" s="5" t="s">
        <v>86</v>
      </c>
      <c r="E21" s="5"/>
      <c r="F21" s="5"/>
      <c r="G21" s="5"/>
      <c r="H21" s="6"/>
      <c r="I21" s="6"/>
    </row>
    <row r="22" spans="2:9" x14ac:dyDescent="0.25">
      <c r="B22" s="1" t="s">
        <v>69</v>
      </c>
      <c r="C22" s="35">
        <f>C21+C19</f>
        <v>2.7774370256142822E-3</v>
      </c>
      <c r="D22" t="s">
        <v>70</v>
      </c>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J20"/>
  <sheetViews>
    <sheetView zoomScaleNormal="100" workbookViewId="0">
      <selection activeCell="B10" sqref="B10:B13"/>
    </sheetView>
  </sheetViews>
  <sheetFormatPr defaultRowHeight="15" x14ac:dyDescent="0.25"/>
  <cols>
    <col min="2" max="2" width="33.285156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2</v>
      </c>
      <c r="C2" s="10"/>
      <c r="D2" s="10"/>
      <c r="E2" s="10"/>
      <c r="F2" s="10"/>
      <c r="G2" s="10"/>
      <c r="H2" s="10"/>
      <c r="J2" s="1" t="s">
        <v>28</v>
      </c>
    </row>
    <row r="3" spans="2:10" x14ac:dyDescent="0.25">
      <c r="B3" s="2" t="s">
        <v>24</v>
      </c>
      <c r="J3" t="s">
        <v>72</v>
      </c>
    </row>
    <row r="4" spans="2:10" x14ac:dyDescent="0.25">
      <c r="B4" s="2"/>
      <c r="C4" s="1">
        <v>2016</v>
      </c>
      <c r="D4" s="1">
        <v>2017</v>
      </c>
      <c r="E4" s="1">
        <v>2018</v>
      </c>
      <c r="F4" s="1">
        <v>2019</v>
      </c>
      <c r="G4" s="1"/>
      <c r="H4" s="1" t="s">
        <v>14</v>
      </c>
      <c r="J4" t="s">
        <v>43</v>
      </c>
    </row>
    <row r="5" spans="2:10" x14ac:dyDescent="0.25">
      <c r="B5" s="2" t="s">
        <v>1</v>
      </c>
      <c r="C5" s="3">
        <v>48346</v>
      </c>
      <c r="D5" s="3">
        <v>276690</v>
      </c>
      <c r="E5" s="3">
        <v>234574</v>
      </c>
      <c r="F5" s="3">
        <v>672683</v>
      </c>
      <c r="G5" s="3"/>
    </row>
    <row r="6" spans="2:10" x14ac:dyDescent="0.25">
      <c r="B6" s="2" t="s">
        <v>8</v>
      </c>
      <c r="C6" s="3">
        <v>41072828</v>
      </c>
      <c r="D6" s="3">
        <v>280855994</v>
      </c>
      <c r="E6" s="3">
        <v>798617793</v>
      </c>
      <c r="F6" s="3">
        <v>1521930963</v>
      </c>
      <c r="G6" s="3"/>
      <c r="J6" t="s">
        <v>93</v>
      </c>
    </row>
    <row r="7" spans="2:10" x14ac:dyDescent="0.25">
      <c r="B7" s="2" t="s">
        <v>9</v>
      </c>
      <c r="C7" s="4">
        <f>C5/C6</f>
        <v>1.177079893305618E-3</v>
      </c>
      <c r="D7" s="4">
        <f t="shared" ref="D7:F7" si="0">D5/D6</f>
        <v>9.8516679690304203E-4</v>
      </c>
      <c r="E7" s="4">
        <f t="shared" si="0"/>
        <v>2.9372498591450741E-4</v>
      </c>
      <c r="F7" s="4">
        <f t="shared" si="0"/>
        <v>4.4199311030115364E-4</v>
      </c>
      <c r="G7" s="5"/>
      <c r="H7" s="7">
        <f>AVERAGE(C7:F7)</f>
        <v>7.2449119660608022E-4</v>
      </c>
      <c r="I7" s="4"/>
    </row>
    <row r="8" spans="2:10" ht="15" customHeight="1" x14ac:dyDescent="0.25">
      <c r="B8" s="2" t="s">
        <v>4</v>
      </c>
      <c r="C8" s="7">
        <v>2.8E-3</v>
      </c>
      <c r="D8" s="7">
        <v>2E-3</v>
      </c>
      <c r="E8" s="7">
        <v>2.5000000000000001E-3</v>
      </c>
      <c r="F8" s="7">
        <v>2.5000000000000001E-3</v>
      </c>
      <c r="G8" s="3"/>
      <c r="H8" s="7">
        <f>AVERAGE(C8:F8)</f>
        <v>2.4500000000000004E-3</v>
      </c>
      <c r="J8" t="s">
        <v>73</v>
      </c>
    </row>
    <row r="9" spans="2:10" ht="15" customHeight="1" x14ac:dyDescent="0.25">
      <c r="B9" s="2"/>
      <c r="C9" s="7"/>
      <c r="D9" s="7"/>
      <c r="E9" s="7"/>
      <c r="F9" s="7"/>
      <c r="G9" s="3"/>
      <c r="H9" s="7"/>
    </row>
    <row r="10" spans="2:10" x14ac:dyDescent="0.25">
      <c r="B10" s="2" t="s">
        <v>49</v>
      </c>
      <c r="C10" s="3">
        <v>51166</v>
      </c>
      <c r="D10" s="3">
        <v>842623</v>
      </c>
      <c r="E10" s="3">
        <v>2541872</v>
      </c>
      <c r="F10" s="3">
        <v>4524697</v>
      </c>
      <c r="G10" s="3"/>
      <c r="H10" s="7"/>
    </row>
    <row r="11" spans="2:10" x14ac:dyDescent="0.25">
      <c r="B11" s="2" t="s">
        <v>50</v>
      </c>
      <c r="C11" s="3">
        <v>885</v>
      </c>
      <c r="D11" s="3">
        <v>35778</v>
      </c>
      <c r="E11" s="3">
        <v>15306</v>
      </c>
      <c r="F11" s="3">
        <v>11676</v>
      </c>
      <c r="G11" s="3"/>
      <c r="H11" s="7"/>
    </row>
    <row r="12" spans="2:10" x14ac:dyDescent="0.25">
      <c r="B12" s="2" t="s">
        <v>52</v>
      </c>
      <c r="C12" s="4">
        <f>C10/C6</f>
        <v>1.2457384234657522E-3</v>
      </c>
      <c r="D12" s="4">
        <f>D10/D6</f>
        <v>3.0001958939854423E-3</v>
      </c>
      <c r="E12" s="4">
        <f t="shared" ref="E12:F12" si="1">E10/E6</f>
        <v>3.1828391782400471E-3</v>
      </c>
      <c r="F12" s="4">
        <f t="shared" si="1"/>
        <v>2.9729975340543747E-3</v>
      </c>
      <c r="G12" s="3"/>
      <c r="H12" s="7">
        <f>AVERAGE(C12:F12)</f>
        <v>2.6004427574364041E-3</v>
      </c>
    </row>
    <row r="13" spans="2:10" x14ac:dyDescent="0.25">
      <c r="B13" s="2" t="s">
        <v>53</v>
      </c>
      <c r="C13" s="4">
        <f>(C10+C11)/C6</f>
        <v>1.267285515377709E-3</v>
      </c>
      <c r="D13" s="4">
        <f t="shared" ref="D13:F13" si="2">(D10+D11)/D6</f>
        <v>3.1275850213828798E-3</v>
      </c>
      <c r="E13" s="4">
        <f t="shared" si="2"/>
        <v>3.2020047917965685E-3</v>
      </c>
      <c r="F13" s="4">
        <f t="shared" si="2"/>
        <v>2.9806693669323816E-3</v>
      </c>
      <c r="G13" s="3"/>
      <c r="H13" s="7">
        <f>AVERAGE(C13:F13)</f>
        <v>2.6443861738723847E-3</v>
      </c>
    </row>
    <row r="14" spans="2:10" x14ac:dyDescent="0.25">
      <c r="B14" s="2"/>
      <c r="C14" s="7"/>
      <c r="D14" s="7"/>
      <c r="E14" s="7"/>
      <c r="F14" s="7"/>
      <c r="G14" s="3"/>
      <c r="H14" s="6"/>
    </row>
    <row r="15" spans="2:10" ht="15" customHeight="1" x14ac:dyDescent="0.25">
      <c r="B15" s="2" t="s">
        <v>22</v>
      </c>
      <c r="C15" s="36">
        <f>H7+H12</f>
        <v>3.3249339540424843E-3</v>
      </c>
    </row>
    <row r="16" spans="2:10" ht="15" customHeight="1" x14ac:dyDescent="0.25">
      <c r="B16" s="2" t="s">
        <v>62</v>
      </c>
      <c r="C16" s="36">
        <f>'Tracking Difference'!L15/100</f>
        <v>3.6750000000000016E-3</v>
      </c>
      <c r="D16" s="5" t="s">
        <v>71</v>
      </c>
    </row>
    <row r="17" spans="2:8" ht="15" customHeight="1" x14ac:dyDescent="0.25">
      <c r="B17" s="2" t="s">
        <v>64</v>
      </c>
      <c r="C17" s="36">
        <f>C16-C15</f>
        <v>3.5006604595751731E-4</v>
      </c>
      <c r="D17" s="5"/>
    </row>
    <row r="18" spans="2:8" ht="15" customHeight="1" x14ac:dyDescent="0.25">
      <c r="B18" s="2"/>
      <c r="C18" s="36"/>
    </row>
    <row r="19" spans="2:8" ht="15" customHeight="1" x14ac:dyDescent="0.25">
      <c r="B19" s="1" t="s">
        <v>21</v>
      </c>
      <c r="C19" s="35">
        <f>F8+AVERAGE(E7:F7)</f>
        <v>2.8678590481078306E-3</v>
      </c>
      <c r="D19" s="5" t="s">
        <v>68</v>
      </c>
    </row>
    <row r="20" spans="2:8" x14ac:dyDescent="0.25">
      <c r="B20" s="1" t="s">
        <v>69</v>
      </c>
      <c r="C20" s="35">
        <f>C19+C17</f>
        <v>3.2179250940653479E-3</v>
      </c>
      <c r="D20" t="s">
        <v>70</v>
      </c>
      <c r="E20" s="5"/>
      <c r="F20" s="5"/>
      <c r="G20" s="5"/>
      <c r="H20" s="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J21"/>
  <sheetViews>
    <sheetView zoomScaleNormal="100" workbookViewId="0">
      <selection activeCell="J5" sqref="J5"/>
    </sheetView>
  </sheetViews>
  <sheetFormatPr defaultRowHeight="15" x14ac:dyDescent="0.25"/>
  <cols>
    <col min="2" max="2" width="26.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1" t="s">
        <v>10</v>
      </c>
      <c r="C2" s="10"/>
      <c r="D2" s="10"/>
      <c r="E2" s="10"/>
      <c r="F2" s="10"/>
      <c r="G2" s="10"/>
      <c r="H2" s="10"/>
      <c r="J2" s="1" t="s">
        <v>28</v>
      </c>
    </row>
    <row r="3" spans="2:10" x14ac:dyDescent="0.25">
      <c r="B3" t="s">
        <v>25</v>
      </c>
    </row>
    <row r="4" spans="2:10" x14ac:dyDescent="0.25">
      <c r="C4" s="1">
        <v>2016</v>
      </c>
      <c r="D4" s="1">
        <v>2017</v>
      </c>
      <c r="E4" s="1">
        <v>2018</v>
      </c>
      <c r="F4" s="1">
        <v>2019</v>
      </c>
      <c r="G4" s="1"/>
      <c r="H4" s="1" t="s">
        <v>14</v>
      </c>
      <c r="J4" t="s">
        <v>94</v>
      </c>
    </row>
    <row r="5" spans="2:10" x14ac:dyDescent="0.25">
      <c r="B5" s="2" t="s">
        <v>1</v>
      </c>
      <c r="C5" s="3"/>
      <c r="D5" s="3"/>
      <c r="E5" s="3"/>
      <c r="F5" s="3">
        <v>2131</v>
      </c>
      <c r="G5" s="3"/>
    </row>
    <row r="6" spans="2:10" x14ac:dyDescent="0.25">
      <c r="B6" s="2" t="s">
        <v>8</v>
      </c>
      <c r="C6" s="3"/>
      <c r="D6" s="3"/>
      <c r="E6" s="3"/>
      <c r="F6" s="3">
        <v>134685073</v>
      </c>
      <c r="G6" s="3"/>
    </row>
    <row r="7" spans="2:10" x14ac:dyDescent="0.25">
      <c r="B7" s="2" t="s">
        <v>9</v>
      </c>
      <c r="D7" s="4"/>
      <c r="E7" s="4"/>
      <c r="F7" s="5">
        <f>F5/F6</f>
        <v>1.582209485085255E-5</v>
      </c>
      <c r="G7" s="5"/>
      <c r="H7" s="7">
        <f>AVERAGE(F7)</f>
        <v>1.582209485085255E-5</v>
      </c>
      <c r="I7" s="4"/>
    </row>
    <row r="8" spans="2:10" ht="15" customHeight="1" x14ac:dyDescent="0.25">
      <c r="B8" s="2" t="s">
        <v>17</v>
      </c>
      <c r="D8" s="4"/>
      <c r="E8" s="4"/>
      <c r="F8" s="5">
        <f>'Northern Trust Master fondsen'!G12</f>
        <v>8.9319673455790307E-4</v>
      </c>
      <c r="G8" s="5"/>
      <c r="H8" s="7">
        <f t="shared" ref="H8:H10" si="0">AVERAGE(F8)</f>
        <v>8.9319673455790307E-4</v>
      </c>
    </row>
    <row r="9" spans="2:10" ht="15" customHeight="1" x14ac:dyDescent="0.25">
      <c r="B9" s="2" t="s">
        <v>29</v>
      </c>
      <c r="D9" s="4"/>
      <c r="E9" s="4"/>
      <c r="F9" s="5">
        <f>SUM(F7:F8)</f>
        <v>9.0901882940875559E-4</v>
      </c>
      <c r="G9" s="5"/>
      <c r="H9" s="7"/>
    </row>
    <row r="10" spans="2:10" x14ac:dyDescent="0.25">
      <c r="B10" s="2" t="s">
        <v>4</v>
      </c>
      <c r="D10" s="3"/>
      <c r="E10" s="3"/>
      <c r="F10" s="7">
        <v>2.3E-3</v>
      </c>
      <c r="H10" s="7">
        <f t="shared" si="0"/>
        <v>2.3E-3</v>
      </c>
    </row>
    <row r="11" spans="2:10" x14ac:dyDescent="0.25">
      <c r="B11" s="2"/>
      <c r="D11" s="3"/>
      <c r="E11" s="3"/>
      <c r="F11" s="7"/>
      <c r="H11" s="7"/>
    </row>
    <row r="12" spans="2:10" x14ac:dyDescent="0.25">
      <c r="B12" s="2" t="s">
        <v>49</v>
      </c>
      <c r="D12" s="3"/>
      <c r="E12" s="3"/>
      <c r="F12" s="7" t="s">
        <v>94</v>
      </c>
      <c r="H12" s="7"/>
    </row>
    <row r="13" spans="2:10" x14ac:dyDescent="0.25">
      <c r="B13" s="2" t="s">
        <v>50</v>
      </c>
      <c r="D13" s="3"/>
      <c r="E13" s="3"/>
      <c r="F13" s="7"/>
      <c r="H13" s="7"/>
    </row>
    <row r="14" spans="2:10" x14ac:dyDescent="0.25">
      <c r="B14" s="2" t="s">
        <v>52</v>
      </c>
      <c r="D14" s="3"/>
      <c r="E14" s="3"/>
      <c r="F14" s="7"/>
      <c r="H14" s="7"/>
    </row>
    <row r="15" spans="2:10" x14ac:dyDescent="0.25">
      <c r="B15" s="2" t="s">
        <v>53</v>
      </c>
    </row>
    <row r="16" spans="2:10" x14ac:dyDescent="0.25">
      <c r="B16" s="2"/>
    </row>
    <row r="17" spans="2:8" x14ac:dyDescent="0.25">
      <c r="B17" s="2" t="s">
        <v>22</v>
      </c>
      <c r="C17" s="36">
        <f>SUM(H7:H10)</f>
        <v>3.2090188294087553E-3</v>
      </c>
    </row>
    <row r="18" spans="2:8" x14ac:dyDescent="0.25">
      <c r="B18" s="2" t="s">
        <v>21</v>
      </c>
      <c r="C18" s="14" t="s">
        <v>45</v>
      </c>
    </row>
    <row r="20" spans="2:8" ht="15" customHeight="1" x14ac:dyDescent="0.25">
      <c r="B20" s="1" t="s">
        <v>44</v>
      </c>
      <c r="C20" s="7">
        <f>F10+(75%*F9)+0.1%</f>
        <v>3.9817641220565667E-3</v>
      </c>
      <c r="D20" s="4"/>
      <c r="E20" s="4"/>
      <c r="F20" s="4"/>
      <c r="G20" s="5"/>
      <c r="H20" s="6"/>
    </row>
    <row r="21" spans="2:8" ht="15" customHeight="1" x14ac:dyDescent="0.25">
      <c r="B21" s="2"/>
      <c r="D21" s="5"/>
      <c r="E21" s="5"/>
      <c r="F21" s="5"/>
      <c r="G21" s="5"/>
      <c r="H21" s="6"/>
    </row>
  </sheetData>
  <pageMargins left="0.7" right="0.7" top="0.75" bottom="0.75" header="0.3" footer="0.3"/>
  <pageSetup orientation="portrait" horizontalDpi="0" verticalDpi="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L15"/>
  <sheetViews>
    <sheetView workbookViewId="0"/>
  </sheetViews>
  <sheetFormatPr defaultRowHeight="15" x14ac:dyDescent="0.25"/>
  <cols>
    <col min="2" max="3" width="24.85546875" customWidth="1"/>
    <col min="4" max="7" width="17.7109375" customWidth="1"/>
    <col min="9" max="9" width="10.140625" bestFit="1" customWidth="1"/>
  </cols>
  <sheetData>
    <row r="2" spans="2:12" x14ac:dyDescent="0.25">
      <c r="B2" s="11" t="s">
        <v>11</v>
      </c>
      <c r="C2" s="11"/>
      <c r="D2" s="12"/>
      <c r="E2" s="12"/>
      <c r="F2" s="12"/>
      <c r="G2" s="12"/>
      <c r="I2" s="9" t="s">
        <v>19</v>
      </c>
    </row>
    <row r="3" spans="2:12" x14ac:dyDescent="0.25">
      <c r="C3" s="1">
        <v>2015</v>
      </c>
      <c r="D3" s="1">
        <v>2016</v>
      </c>
      <c r="E3" s="1">
        <v>2017</v>
      </c>
      <c r="F3" s="1">
        <v>2018</v>
      </c>
      <c r="G3" s="1">
        <v>2019</v>
      </c>
    </row>
    <row r="4" spans="2:12" x14ac:dyDescent="0.25">
      <c r="B4" s="1" t="s">
        <v>1</v>
      </c>
      <c r="C4" s="1"/>
      <c r="D4" s="13">
        <v>200474</v>
      </c>
      <c r="E4" s="13">
        <v>116789</v>
      </c>
      <c r="F4" s="13">
        <v>159626</v>
      </c>
      <c r="G4" s="13">
        <v>261252</v>
      </c>
      <c r="I4" s="1" t="s">
        <v>27</v>
      </c>
    </row>
    <row r="5" spans="2:12" x14ac:dyDescent="0.25">
      <c r="B5" s="1" t="s">
        <v>13</v>
      </c>
      <c r="C5" s="13">
        <v>957946194</v>
      </c>
      <c r="D5" s="13">
        <v>2005749714</v>
      </c>
      <c r="E5" s="13">
        <v>3210042287</v>
      </c>
      <c r="F5" s="13">
        <v>4337266633</v>
      </c>
      <c r="G5" s="13">
        <f>6989496789</f>
        <v>6989496789</v>
      </c>
      <c r="I5" s="9" t="s">
        <v>20</v>
      </c>
    </row>
    <row r="6" spans="2:12" x14ac:dyDescent="0.25">
      <c r="B6" s="1" t="s">
        <v>9</v>
      </c>
      <c r="C6" s="8"/>
      <c r="D6" s="5">
        <f t="shared" ref="D6:F6" si="0">D4/AVERAGE(C5:D5)</f>
        <v>1.3528648432442348E-4</v>
      </c>
      <c r="E6" s="5">
        <f t="shared" si="0"/>
        <v>4.4782844092559127E-5</v>
      </c>
      <c r="F6" s="5">
        <f t="shared" si="0"/>
        <v>4.2300110328596436E-5</v>
      </c>
      <c r="G6" s="5">
        <f>G4/AVERAGE(F5:G5)</f>
        <v>4.6130035609743487E-5</v>
      </c>
      <c r="I6" s="9" t="s">
        <v>40</v>
      </c>
    </row>
    <row r="7" spans="2:12" x14ac:dyDescent="0.25">
      <c r="E7" s="3"/>
      <c r="F7" s="3"/>
      <c r="G7" s="3"/>
      <c r="I7" s="9" t="s">
        <v>18</v>
      </c>
    </row>
    <row r="8" spans="2:12" x14ac:dyDescent="0.25">
      <c r="B8" s="11" t="s">
        <v>12</v>
      </c>
      <c r="C8" s="11"/>
      <c r="D8" s="12"/>
      <c r="E8" s="12"/>
      <c r="F8" s="12"/>
      <c r="G8" s="12"/>
    </row>
    <row r="9" spans="2:12" x14ac:dyDescent="0.25">
      <c r="C9" s="1">
        <v>2015</v>
      </c>
      <c r="D9" s="1">
        <v>2016</v>
      </c>
      <c r="E9" s="1">
        <v>2017</v>
      </c>
      <c r="F9" s="1">
        <v>2018</v>
      </c>
      <c r="G9" s="1">
        <v>2019</v>
      </c>
      <c r="I9" s="1" t="s">
        <v>27</v>
      </c>
      <c r="J9" s="6"/>
      <c r="L9" s="6"/>
    </row>
    <row r="10" spans="2:12" x14ac:dyDescent="0.25">
      <c r="B10" s="1" t="s">
        <v>1</v>
      </c>
      <c r="C10" s="1"/>
      <c r="E10" s="3"/>
      <c r="F10" s="3"/>
      <c r="G10" s="3">
        <v>63179</v>
      </c>
      <c r="I10" s="15" t="s">
        <v>41</v>
      </c>
      <c r="L10" s="4"/>
    </row>
    <row r="11" spans="2:12" x14ac:dyDescent="0.25">
      <c r="B11" s="1" t="s">
        <v>13</v>
      </c>
      <c r="C11" s="1"/>
      <c r="D11" s="3"/>
      <c r="E11" s="3"/>
      <c r="F11" s="3">
        <v>0</v>
      </c>
      <c r="G11" s="3">
        <v>141467154</v>
      </c>
      <c r="I11" s="9" t="s">
        <v>39</v>
      </c>
      <c r="L11" s="6"/>
    </row>
    <row r="12" spans="2:12" x14ac:dyDescent="0.25">
      <c r="B12" s="1" t="s">
        <v>9</v>
      </c>
      <c r="C12" s="1"/>
      <c r="E12" s="4"/>
      <c r="F12" s="4"/>
      <c r="G12" s="5">
        <f>G10/AVERAGE(F11:G11)</f>
        <v>8.9319673455790307E-4</v>
      </c>
    </row>
    <row r="13" spans="2:12" x14ac:dyDescent="0.25">
      <c r="I13" s="9" t="s">
        <v>46</v>
      </c>
    </row>
    <row r="14" spans="2:12" x14ac:dyDescent="0.25">
      <c r="I14" s="9" t="s">
        <v>47</v>
      </c>
    </row>
    <row r="15" spans="2:12" x14ac:dyDescent="0.25">
      <c r="I15" s="9" t="s">
        <v>48</v>
      </c>
      <c r="J15" s="7"/>
    </row>
  </sheetData>
  <pageMargins left="0.7" right="0.7" top="0.75" bottom="0.75" header="0.3" footer="0.3"/>
  <pageSetup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M16"/>
  <sheetViews>
    <sheetView workbookViewId="0">
      <selection activeCell="H8" sqref="H8"/>
    </sheetView>
  </sheetViews>
  <sheetFormatPr defaultRowHeight="15" x14ac:dyDescent="0.25"/>
  <cols>
    <col min="2" max="2" width="56.7109375" bestFit="1" customWidth="1"/>
  </cols>
  <sheetData>
    <row r="2" spans="2:13" x14ac:dyDescent="0.25">
      <c r="B2" s="18"/>
      <c r="C2" s="19">
        <v>2012</v>
      </c>
      <c r="D2" s="19">
        <v>2013</v>
      </c>
      <c r="E2" s="19">
        <v>2014</v>
      </c>
      <c r="F2" s="19">
        <v>2015</v>
      </c>
      <c r="G2" s="19">
        <v>2016</v>
      </c>
      <c r="H2" s="19">
        <v>2017</v>
      </c>
      <c r="I2" s="19">
        <v>2018</v>
      </c>
      <c r="J2" s="19">
        <v>2019</v>
      </c>
      <c r="K2" s="18"/>
      <c r="L2" s="20" t="s">
        <v>54</v>
      </c>
      <c r="M2" s="20" t="s">
        <v>55</v>
      </c>
    </row>
    <row r="3" spans="2:13" x14ac:dyDescent="0.25">
      <c r="B3" s="20" t="s">
        <v>56</v>
      </c>
      <c r="C3" s="21"/>
      <c r="D3" s="21"/>
      <c r="E3" s="21"/>
      <c r="F3" s="21"/>
      <c r="G3" s="21">
        <v>10.55</v>
      </c>
      <c r="H3" s="21">
        <v>8.32</v>
      </c>
      <c r="I3" s="21">
        <v>-3.3</v>
      </c>
      <c r="J3" s="21">
        <v>30.93</v>
      </c>
      <c r="K3" s="18"/>
      <c r="L3" s="18"/>
      <c r="M3" s="21"/>
    </row>
    <row r="4" spans="2:13" x14ac:dyDescent="0.25">
      <c r="B4" s="20" t="s">
        <v>57</v>
      </c>
      <c r="C4" s="21"/>
      <c r="D4" s="21"/>
      <c r="E4" s="21">
        <v>20.76</v>
      </c>
      <c r="F4" s="21">
        <v>11.13</v>
      </c>
      <c r="G4" s="21">
        <v>10.72</v>
      </c>
      <c r="H4" s="21">
        <v>8.5399999999999991</v>
      </c>
      <c r="I4" s="21">
        <v>-3.12</v>
      </c>
      <c r="J4" s="21">
        <v>31.17</v>
      </c>
      <c r="K4" s="18"/>
      <c r="L4" s="18"/>
      <c r="M4" s="18"/>
    </row>
    <row r="5" spans="2:13" x14ac:dyDescent="0.25">
      <c r="B5" s="20" t="s">
        <v>58</v>
      </c>
      <c r="C5" s="21"/>
      <c r="D5" s="21"/>
      <c r="E5" s="21"/>
      <c r="F5" s="21"/>
      <c r="G5" s="21">
        <v>10.07</v>
      </c>
      <c r="H5" s="21">
        <v>7.95</v>
      </c>
      <c r="I5" s="21">
        <v>-3.65</v>
      </c>
      <c r="J5" s="21">
        <v>30.44</v>
      </c>
      <c r="K5" s="18"/>
      <c r="L5" s="18"/>
      <c r="M5" s="21"/>
    </row>
    <row r="6" spans="2:13" x14ac:dyDescent="0.25">
      <c r="B6" s="20" t="s">
        <v>59</v>
      </c>
      <c r="C6" s="21"/>
      <c r="D6" s="21"/>
      <c r="E6" s="21"/>
      <c r="F6" s="21"/>
      <c r="G6" s="21">
        <f>G4-G3</f>
        <v>0.16999999999999993</v>
      </c>
      <c r="H6" s="21">
        <f>H4-H3</f>
        <v>0.21999999999999886</v>
      </c>
      <c r="I6" s="21">
        <f>I4-I3</f>
        <v>0.17999999999999972</v>
      </c>
      <c r="J6" s="21">
        <f>J4-J3</f>
        <v>0.24000000000000199</v>
      </c>
      <c r="K6" s="18"/>
      <c r="L6" s="21">
        <f>AVERAGE(G6:J6)</f>
        <v>0.20250000000000012</v>
      </c>
      <c r="M6" s="21"/>
    </row>
    <row r="7" spans="2:13" x14ac:dyDescent="0.25">
      <c r="B7" s="20" t="s">
        <v>60</v>
      </c>
      <c r="C7" s="21"/>
      <c r="D7" s="21"/>
      <c r="E7" s="21"/>
      <c r="F7" s="21"/>
      <c r="G7" s="21">
        <f>G3-G5</f>
        <v>0.48000000000000043</v>
      </c>
      <c r="H7" s="21">
        <f t="shared" ref="H7:J7" si="0">H3-H5</f>
        <v>0.37000000000000011</v>
      </c>
      <c r="I7" s="21">
        <f t="shared" si="0"/>
        <v>0.35000000000000009</v>
      </c>
      <c r="J7" s="21">
        <f t="shared" si="0"/>
        <v>0.48999999999999844</v>
      </c>
      <c r="K7" s="18"/>
      <c r="L7" s="18"/>
      <c r="M7" s="21">
        <f>AVERAGE(G7:J7)</f>
        <v>0.42249999999999976</v>
      </c>
    </row>
    <row r="11" spans="2:13" x14ac:dyDescent="0.25">
      <c r="B11" s="22"/>
      <c r="D11" s="23">
        <v>2013</v>
      </c>
      <c r="E11" s="23">
        <v>2014</v>
      </c>
      <c r="F11" s="23">
        <v>2015</v>
      </c>
      <c r="G11" s="23">
        <v>2016</v>
      </c>
      <c r="H11" s="23">
        <v>2017</v>
      </c>
      <c r="I11" s="23">
        <v>2018</v>
      </c>
      <c r="J11" s="23">
        <v>2019</v>
      </c>
      <c r="K11" s="23"/>
      <c r="L11" s="24" t="s">
        <v>54</v>
      </c>
      <c r="M11" s="24" t="s">
        <v>55</v>
      </c>
    </row>
    <row r="12" spans="2:13" x14ac:dyDescent="0.25">
      <c r="B12" s="24" t="s">
        <v>61</v>
      </c>
      <c r="D12" s="25"/>
      <c r="E12" s="25"/>
      <c r="F12" s="25"/>
      <c r="G12" s="25">
        <v>12.94</v>
      </c>
      <c r="H12" s="25">
        <v>21.63</v>
      </c>
      <c r="I12" s="25">
        <v>-10.75</v>
      </c>
      <c r="J12" s="25">
        <v>20.82</v>
      </c>
      <c r="K12" s="25"/>
      <c r="L12" s="22"/>
      <c r="M12" s="25"/>
    </row>
    <row r="13" spans="2:13" x14ac:dyDescent="0.25">
      <c r="B13" s="24" t="s">
        <v>57</v>
      </c>
      <c r="D13" s="25"/>
      <c r="E13" s="25">
        <v>12.03</v>
      </c>
      <c r="F13" s="25">
        <v>-3.64</v>
      </c>
      <c r="G13" s="25">
        <v>13.57</v>
      </c>
      <c r="H13" s="25">
        <v>21.71</v>
      </c>
      <c r="I13" s="25">
        <v>-10.25</v>
      </c>
      <c r="J13" s="25">
        <v>21.08</v>
      </c>
      <c r="K13" s="25"/>
      <c r="L13" s="22"/>
      <c r="M13" s="25"/>
    </row>
    <row r="14" spans="2:13" x14ac:dyDescent="0.25">
      <c r="B14" s="24" t="s">
        <v>58</v>
      </c>
      <c r="D14" s="25"/>
      <c r="E14" s="25"/>
      <c r="F14" s="25"/>
      <c r="G14" s="25">
        <v>13.14</v>
      </c>
      <c r="H14" s="25">
        <v>21.3</v>
      </c>
      <c r="I14" s="25">
        <v>-10.6</v>
      </c>
      <c r="J14" s="25">
        <v>20.61</v>
      </c>
      <c r="K14" s="25"/>
      <c r="L14" s="22"/>
      <c r="M14" s="25"/>
    </row>
    <row r="15" spans="2:13" x14ac:dyDescent="0.25">
      <c r="B15" s="24" t="s">
        <v>59</v>
      </c>
      <c r="D15" s="25"/>
      <c r="E15" s="25"/>
      <c r="F15" s="25"/>
      <c r="G15" s="25">
        <f>G13-G12</f>
        <v>0.63000000000000078</v>
      </c>
      <c r="H15" s="25">
        <f>H13-H12</f>
        <v>8.0000000000001847E-2</v>
      </c>
      <c r="I15" s="25">
        <f>I13-I12</f>
        <v>0.5</v>
      </c>
      <c r="J15" s="25">
        <f>J13-J12</f>
        <v>0.25999999999999801</v>
      </c>
      <c r="K15" s="25"/>
      <c r="L15" s="26">
        <f>AVERAGE(G15:J15)</f>
        <v>0.36750000000000016</v>
      </c>
      <c r="M15" s="25"/>
    </row>
    <row r="16" spans="2:13" x14ac:dyDescent="0.25">
      <c r="B16" s="24" t="s">
        <v>60</v>
      </c>
      <c r="D16" s="25"/>
      <c r="E16" s="25"/>
      <c r="F16" s="25"/>
      <c r="G16" s="25">
        <f>G12-G14</f>
        <v>-0.20000000000000107</v>
      </c>
      <c r="H16" s="25">
        <f t="shared" ref="H16:J16" si="1">H12-H14</f>
        <v>0.32999999999999829</v>
      </c>
      <c r="I16" s="25">
        <f t="shared" si="1"/>
        <v>-0.15000000000000036</v>
      </c>
      <c r="J16" s="25">
        <f t="shared" si="1"/>
        <v>0.21000000000000085</v>
      </c>
      <c r="K16" s="25"/>
      <c r="L16" s="25"/>
      <c r="M16" s="25">
        <f>AVERAGE(G16:J16)</f>
        <v>4.7499999999999432E-2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7</vt:i4>
      </vt:variant>
    </vt:vector>
  </HeadingPairs>
  <TitlesOfParts>
    <vt:vector size="7" baseType="lpstr">
      <vt:lpstr>Aannames</vt:lpstr>
      <vt:lpstr>MarketCap</vt:lpstr>
      <vt:lpstr>World</vt:lpstr>
      <vt:lpstr>Emerging</vt:lpstr>
      <vt:lpstr>SmallCaps</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cp:lastModifiedBy>
  <dcterms:created xsi:type="dcterms:W3CDTF">2015-06-05T18:19:34Z</dcterms:created>
  <dcterms:modified xsi:type="dcterms:W3CDTF">2020-08-03T12:28:55Z</dcterms:modified>
</cp:coreProperties>
</file>