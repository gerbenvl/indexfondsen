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Vanguard EU\"/>
    </mc:Choice>
  </mc:AlternateContent>
  <xr:revisionPtr revIDLastSave="0" documentId="13_ncr:1_{48729FC4-570B-45E2-B22A-3125E79E7519}" xr6:coauthVersionLast="45" xr6:coauthVersionMax="45" xr10:uidLastSave="{00000000-0000-0000-0000-000000000000}"/>
  <bookViews>
    <workbookView xWindow="-120" yWindow="-120" windowWidth="51840" windowHeight="21240" activeTab="1" xr2:uid="{00000000-000D-0000-FFFF-FFFF00000000}"/>
  </bookViews>
  <sheets>
    <sheet name="MarketCap" sheetId="7" r:id="rId1"/>
    <sheet name="VWRL" sheetId="13" r:id="rId2"/>
    <sheet name="TD" sheetId="14" r:id="rId3"/>
    <sheet name="DividendLekkage" sheetId="15" r:id="rId4"/>
    <sheet name="Dividend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3" l="1"/>
  <c r="H29" i="13"/>
  <c r="G29" i="13"/>
  <c r="F29" i="13"/>
  <c r="E29" i="13"/>
  <c r="D29" i="13"/>
  <c r="I14" i="13"/>
  <c r="H14" i="13"/>
  <c r="G14" i="13"/>
  <c r="F14" i="13"/>
  <c r="E14" i="13"/>
  <c r="I13" i="13"/>
  <c r="H13" i="13"/>
  <c r="G13" i="13"/>
  <c r="F13" i="13"/>
  <c r="E13" i="13"/>
  <c r="J3" i="15" l="1"/>
  <c r="J5" i="15"/>
  <c r="J6" i="15"/>
  <c r="J7" i="15"/>
  <c r="J8" i="15"/>
  <c r="J9" i="15"/>
  <c r="J10" i="15"/>
  <c r="J11" i="15"/>
  <c r="J12" i="15"/>
  <c r="J13" i="15"/>
  <c r="J2" i="15"/>
  <c r="D13" i="15"/>
  <c r="C13" i="15"/>
  <c r="D12" i="15"/>
  <c r="D11" i="15"/>
  <c r="C11" i="15"/>
  <c r="D10" i="15" l="1"/>
  <c r="C10" i="15"/>
  <c r="D9" i="15"/>
  <c r="D8" i="15"/>
  <c r="C7" i="15"/>
  <c r="D7" i="15"/>
  <c r="D6" i="15"/>
  <c r="C6" i="15"/>
  <c r="D5" i="15"/>
  <c r="C5" i="15"/>
  <c r="C3" i="15"/>
  <c r="D3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E3" i="15"/>
  <c r="F3" i="15"/>
  <c r="H3" i="15"/>
  <c r="G3" i="15"/>
  <c r="H2" i="15"/>
  <c r="H13" i="15"/>
  <c r="G13" i="15"/>
  <c r="H12" i="15"/>
  <c r="G12" i="15"/>
  <c r="H11" i="15"/>
  <c r="G11" i="15"/>
  <c r="H10" i="15"/>
  <c r="G10" i="15"/>
  <c r="H9" i="15"/>
  <c r="G9" i="15"/>
  <c r="H8" i="15"/>
  <c r="G8" i="15"/>
  <c r="H7" i="15"/>
  <c r="G7" i="15"/>
  <c r="H6" i="15"/>
  <c r="G6" i="15"/>
  <c r="H5" i="15"/>
  <c r="G5" i="15"/>
  <c r="D4" i="7" l="1"/>
  <c r="T9" i="10" l="1"/>
  <c r="U14" i="10" l="1"/>
  <c r="T14" i="10"/>
  <c r="U13" i="10"/>
  <c r="S14" i="10"/>
  <c r="S13" i="10"/>
  <c r="E8" i="13" l="1"/>
  <c r="D8" i="13"/>
  <c r="D13" i="13"/>
  <c r="I6" i="14"/>
  <c r="H6" i="14"/>
  <c r="G6" i="14"/>
  <c r="F6" i="14"/>
  <c r="E6" i="14"/>
  <c r="D6" i="14"/>
  <c r="C6" i="14"/>
  <c r="I5" i="14"/>
  <c r="H5" i="14"/>
  <c r="G5" i="14"/>
  <c r="F5" i="14"/>
  <c r="E5" i="14"/>
  <c r="D5" i="14"/>
  <c r="C5" i="14"/>
  <c r="L6" i="14" l="1"/>
  <c r="K5" i="14"/>
  <c r="C38" i="13" s="1"/>
  <c r="H26" i="13" l="1"/>
  <c r="I26" i="13"/>
  <c r="G26" i="13"/>
  <c r="F8" i="13"/>
  <c r="G8" i="13"/>
  <c r="H8" i="13"/>
  <c r="I8" i="13"/>
  <c r="E9" i="13"/>
  <c r="I18" i="13"/>
  <c r="H18" i="13"/>
  <c r="G18" i="13"/>
  <c r="F18" i="13"/>
  <c r="E18" i="13"/>
  <c r="D18" i="13"/>
  <c r="I9" i="13"/>
  <c r="H9" i="13"/>
  <c r="G9" i="13"/>
  <c r="F9" i="13"/>
  <c r="D9" i="13"/>
  <c r="J7" i="13"/>
  <c r="H32" i="13" l="1"/>
  <c r="H23" i="13"/>
  <c r="E23" i="13"/>
  <c r="D32" i="13"/>
  <c r="D23" i="13"/>
  <c r="D14" i="13"/>
  <c r="I23" i="13"/>
  <c r="C42" i="13" s="1"/>
  <c r="D8" i="7" s="1"/>
  <c r="F19" i="13"/>
  <c r="F23" i="13"/>
  <c r="G23" i="13"/>
  <c r="I32" i="13"/>
  <c r="J18" i="13"/>
  <c r="E19" i="13"/>
  <c r="E32" i="13"/>
  <c r="G32" i="13"/>
  <c r="I19" i="13"/>
  <c r="G19" i="13"/>
  <c r="J29" i="13"/>
  <c r="D19" i="13"/>
  <c r="H19" i="13"/>
  <c r="F32" i="13"/>
  <c r="J32" i="13" s="1"/>
  <c r="J14" i="13" l="1"/>
  <c r="J4" i="15"/>
  <c r="F8" i="7"/>
  <c r="C10" i="7" s="1"/>
  <c r="T4" i="10"/>
  <c r="J23" i="13"/>
  <c r="J19" i="13"/>
  <c r="C37" i="13" l="1"/>
  <c r="C39" i="13" s="1"/>
  <c r="C41" i="13"/>
  <c r="C8" i="7" s="1"/>
  <c r="C44" i="13" l="1"/>
  <c r="C45" i="13" s="1"/>
  <c r="E8" i="7" s="1"/>
  <c r="U11" i="10"/>
  <c r="T11" i="10"/>
  <c r="S11" i="10"/>
  <c r="S6" i="10" l="1"/>
  <c r="S9" i="10"/>
  <c r="S4" i="10"/>
  <c r="T6" i="10"/>
  <c r="U9" i="10" l="1"/>
  <c r="U6" i="10"/>
  <c r="U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tc={3E3CE202-C5B9-4A92-B8D2-82C869CF6CF5}</author>
  </authors>
  <commentList>
    <comment ref="T11" authorId="0" shapeId="0" xr:uid="{3E3CE202-C5B9-4A92-B8D2-82C869CF6CF5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5,3% lek via trackerbelegger gepakt</t>
      </text>
    </comment>
  </commentList>
</comments>
</file>

<file path=xl/sharedStrings.xml><?xml version="1.0" encoding="utf-8"?>
<sst xmlns="http://schemas.openxmlformats.org/spreadsheetml/2006/main" count="74" uniqueCount="70">
  <si>
    <t>Kosten uit https://global.vanguard.com/portal/site/loadPDF?country=global&amp;docId=15835</t>
  </si>
  <si>
    <t>Dividend lek</t>
  </si>
  <si>
    <t>Dividend income</t>
  </si>
  <si>
    <t>Foreign Withholding Tax</t>
  </si>
  <si>
    <t>VWRL</t>
  </si>
  <si>
    <t>Lek</t>
  </si>
  <si>
    <t>Gemiddeld dividend na lek</t>
  </si>
  <si>
    <t>Bruto dividend</t>
  </si>
  <si>
    <t>Small cap Fund (GBP)</t>
  </si>
  <si>
    <t>Emerging Fund (GBP)</t>
  </si>
  <si>
    <t>Vanguard VT</t>
  </si>
  <si>
    <t>%</t>
  </si>
  <si>
    <t>Gemiddeld vermogen</t>
  </si>
  <si>
    <t>TD</t>
  </si>
  <si>
    <t>Gemiddelde</t>
  </si>
  <si>
    <t>TER gemeld</t>
  </si>
  <si>
    <t>Schatting kosten toekomst</t>
  </si>
  <si>
    <t>Vanguard FTSE All-World UCITS ETF</t>
  </si>
  <si>
    <t>05-2012 gestart</t>
  </si>
  <si>
    <t>Net asset value einde boekjaar</t>
  </si>
  <si>
    <t>% dividend lek</t>
  </si>
  <si>
    <t>Securities lending income</t>
  </si>
  <si>
    <t>% lending income</t>
  </si>
  <si>
    <t>% transactie kosten</t>
  </si>
  <si>
    <t>Kosten benadering verleden</t>
  </si>
  <si>
    <t>Tracking difference</t>
  </si>
  <si>
    <t>Derivaten</t>
  </si>
  <si>
    <t>Management Fees (TER)</t>
  </si>
  <si>
    <t>Other expenses</t>
  </si>
  <si>
    <t>Gemiddeld vermogen via TER</t>
  </si>
  <si>
    <t>Secuties lended</t>
  </si>
  <si>
    <t>Transaction Fees and Commissions</t>
  </si>
  <si>
    <t>Vanguard VWRL</t>
  </si>
  <si>
    <t>FTSE All-World Index gross</t>
  </si>
  <si>
    <t>FTSE All-World Index NET</t>
  </si>
  <si>
    <t>Vs gross</t>
  </si>
  <si>
    <t>Vs net</t>
  </si>
  <si>
    <t>OPNI</t>
  </si>
  <si>
    <t>Rente</t>
  </si>
  <si>
    <t>Overige inkomsten</t>
  </si>
  <si>
    <t>Schatting toekomst tracking diff</t>
  </si>
  <si>
    <t>Gat</t>
  </si>
  <si>
    <t>Kosten verschil toekomst en heden</t>
  </si>
  <si>
    <t>Rente en overig inkomsten</t>
  </si>
  <si>
    <t>VTI</t>
  </si>
  <si>
    <t>VXUS</t>
  </si>
  <si>
    <t>Toekomst</t>
  </si>
  <si>
    <t>Kosten met lek</t>
  </si>
  <si>
    <t>Kosten zonder lek</t>
  </si>
  <si>
    <t>FTSE Global All-Cap</t>
  </si>
  <si>
    <t>FTSE All-World</t>
  </si>
  <si>
    <t>Kosten toekomst zonder lek</t>
  </si>
  <si>
    <t>Interest expense</t>
  </si>
  <si>
    <t>0,02% transaction costs</t>
  </si>
  <si>
    <t>Check, kan als het vermogen zo blijft</t>
  </si>
  <si>
    <t>Forse rente inkomsten laatste jaren</t>
  </si>
  <si>
    <t>VWRL met 2,5% dividend</t>
  </si>
  <si>
    <t>Vanguard FTSE Developed Asia Pacific ex Japan</t>
  </si>
  <si>
    <t>Vanguard FTSE Developed Europe</t>
  </si>
  <si>
    <t>Vanguard FTSE Developed Europe ex UK</t>
  </si>
  <si>
    <t>Vanguard FTSE Developed World</t>
  </si>
  <si>
    <t>Vanguard FTSE Emerging Markets</t>
  </si>
  <si>
    <t>Vanguard FTSE Japan</t>
  </si>
  <si>
    <t>Vanguard FTSE North America</t>
  </si>
  <si>
    <t>Vanguard S&amp;P 500</t>
  </si>
  <si>
    <t>Vanguard FTSE All-World High Dividend Yield</t>
  </si>
  <si>
    <t>Vanguard DAX</t>
  </si>
  <si>
    <t>Vanguard FTSE 100</t>
  </si>
  <si>
    <t>Gem</t>
  </si>
  <si>
    <t>Vanguard FTSE All-World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</si>
</sst>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0.000%"/>
    <numFmt numFmtId="165" formatCode="0.0%"/>
    <numFmt numFmtId="166" formatCode="_ * #,##0_ ;_ * \-#,##0_ ;_ * &quot;-&quot;??_ ;_ @_ "/>
    <numFmt numFmtId="167" formatCode="0.000"/>
    <numFmt numFmtId="168" formatCode="_ &quot;€&quot;\ * #,##0_ ;_ &quot;€&quot;\ * \-#,##0_ ;_ &quot;€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0" xfId="0" applyFont="1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166" fontId="0" fillId="0" borderId="0" xfId="2" applyNumberFormat="1" applyFont="1"/>
    <xf numFmtId="9" fontId="0" fillId="0" borderId="0" xfId="0" applyNumberFormat="1"/>
    <xf numFmtId="167" fontId="0" fillId="0" borderId="0" xfId="1" applyNumberFormat="1" applyFont="1"/>
    <xf numFmtId="164" fontId="0" fillId="0" borderId="0" xfId="1" applyNumberFormat="1" applyFont="1"/>
    <xf numFmtId="164" fontId="2" fillId="0" borderId="0" xfId="0" applyNumberFormat="1" applyFont="1"/>
    <xf numFmtId="0" fontId="2" fillId="2" borderId="0" xfId="0" applyFont="1" applyFill="1"/>
    <xf numFmtId="0" fontId="0" fillId="2" borderId="0" xfId="0" applyFill="1"/>
    <xf numFmtId="10" fontId="2" fillId="0" borderId="0" xfId="0" applyNumberFormat="1" applyFont="1"/>
    <xf numFmtId="168" fontId="1" fillId="0" borderId="0" xfId="3" applyNumberFormat="1" applyFont="1" applyFill="1"/>
    <xf numFmtId="168" fontId="0" fillId="0" borderId="0" xfId="3" applyNumberFormat="1" applyFont="1" applyFill="1"/>
    <xf numFmtId="10" fontId="1" fillId="0" borderId="0" xfId="1" applyNumberFormat="1" applyFont="1" applyFill="1"/>
    <xf numFmtId="10" fontId="0" fillId="0" borderId="0" xfId="1" applyNumberFormat="1" applyFont="1" applyFill="1"/>
    <xf numFmtId="165" fontId="0" fillId="0" borderId="0" xfId="1" applyNumberFormat="1" applyFont="1" applyFill="1"/>
    <xf numFmtId="164" fontId="1" fillId="0" borderId="0" xfId="1" applyNumberFormat="1" applyFont="1" applyFill="1"/>
    <xf numFmtId="164" fontId="0" fillId="0" borderId="0" xfId="1" applyNumberFormat="1" applyFont="1" applyFill="1"/>
    <xf numFmtId="166" fontId="1" fillId="0" borderId="0" xfId="2" applyNumberFormat="1" applyFont="1" applyFill="1"/>
    <xf numFmtId="166" fontId="0" fillId="0" borderId="0" xfId="2" applyNumberFormat="1" applyFont="1" applyFill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67" fontId="4" fillId="0" borderId="0" xfId="0" applyNumberFormat="1" applyFont="1" applyFill="1"/>
    <xf numFmtId="167" fontId="4" fillId="0" borderId="0" xfId="0" applyNumberFormat="1" applyFont="1"/>
    <xf numFmtId="167" fontId="0" fillId="0" borderId="0" xfId="0" applyNumberFormat="1"/>
    <xf numFmtId="167" fontId="4" fillId="0" borderId="0" xfId="0" applyNumberFormat="1" applyFont="1" applyAlignment="1">
      <alignment horizontal="right"/>
    </xf>
    <xf numFmtId="9" fontId="0" fillId="0" borderId="0" xfId="1" applyFont="1"/>
    <xf numFmtId="165" fontId="0" fillId="0" borderId="0" xfId="0" applyNumberFormat="1"/>
  </cellXfs>
  <cellStyles count="4">
    <cellStyle name="Komma" xfId="2" builtinId="3"/>
    <cellStyle name="Procent" xfId="1" builtinId="5"/>
    <cellStyle name="Standaard" xfId="0" builtinId="0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ben van Loon" id="{B39E2748-BEF5-452C-8CD9-FE69E5206B4F}" userId="S::gerben@gerbenvanloonengineering.nl::afe8845f-8ac3-4ac0-a0e6-085833b559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1" dT="2020-08-15T07:18:50.22" personId="{B39E2748-BEF5-452C-8CD9-FE69E5206B4F}" id="{3E3CE202-C5B9-4A92-B8D2-82C869CF6CF5}">
    <text>5,3% lek via trackerbelegger gepakt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687D-2650-40D8-BB0F-4784280BA24F}">
  <dimension ref="B2:H18"/>
  <sheetViews>
    <sheetView workbookViewId="0">
      <selection activeCell="E20" sqref="E20"/>
    </sheetView>
  </sheetViews>
  <sheetFormatPr defaultRowHeight="15" x14ac:dyDescent="0.25"/>
  <cols>
    <col min="2" max="2" width="25.5703125" customWidth="1"/>
    <col min="3" max="3" width="16.85546875" customWidth="1"/>
    <col min="4" max="4" width="18.85546875" customWidth="1"/>
    <col min="5" max="5" width="11.7109375" customWidth="1"/>
    <col min="6" max="6" width="18.42578125" customWidth="1"/>
    <col min="7" max="7" width="15.42578125" customWidth="1"/>
    <col min="8" max="8" width="13.7109375" customWidth="1"/>
    <col min="9" max="9" width="12.28515625" customWidth="1"/>
    <col min="10" max="10" width="12.42578125" customWidth="1"/>
  </cols>
  <sheetData>
    <row r="2" spans="2:8" x14ac:dyDescent="0.25">
      <c r="H2" s="3"/>
    </row>
    <row r="3" spans="2:8" x14ac:dyDescent="0.25">
      <c r="B3" t="s">
        <v>49</v>
      </c>
      <c r="C3" s="8">
        <v>58928125</v>
      </c>
    </row>
    <row r="4" spans="2:8" x14ac:dyDescent="0.25">
      <c r="B4" t="s">
        <v>50</v>
      </c>
      <c r="C4" s="8">
        <v>53022086</v>
      </c>
      <c r="D4" s="6">
        <f>C4/C3</f>
        <v>0.89977554860264097</v>
      </c>
    </row>
    <row r="5" spans="2:8" x14ac:dyDescent="0.25">
      <c r="G5" s="5"/>
    </row>
    <row r="7" spans="2:8" x14ac:dyDescent="0.25">
      <c r="B7" t="s">
        <v>46</v>
      </c>
      <c r="C7" s="1" t="s">
        <v>47</v>
      </c>
      <c r="D7" s="1" t="s">
        <v>48</v>
      </c>
      <c r="E7" s="1" t="s">
        <v>13</v>
      </c>
      <c r="F7" s="1" t="s">
        <v>5</v>
      </c>
    </row>
    <row r="8" spans="2:8" x14ac:dyDescent="0.25">
      <c r="B8" s="1" t="s">
        <v>4</v>
      </c>
      <c r="C8" s="5">
        <f>VWRL!C41</f>
        <v>5.2401835962977376E-3</v>
      </c>
      <c r="D8" s="5">
        <f>VWRL!C42</f>
        <v>2.1316411736430033E-3</v>
      </c>
      <c r="E8" s="5">
        <f>VWRL!C45</f>
        <v>4.8882888908656254E-3</v>
      </c>
      <c r="F8" s="6">
        <f>VWRL!J18</f>
        <v>0.11422474785698966</v>
      </c>
    </row>
    <row r="9" spans="2:8" x14ac:dyDescent="0.25">
      <c r="B9" s="1"/>
      <c r="C9" s="5"/>
      <c r="D9" s="5"/>
      <c r="E9" s="5"/>
      <c r="F9" s="6"/>
    </row>
    <row r="10" spans="2:8" x14ac:dyDescent="0.25">
      <c r="B10" t="s">
        <v>56</v>
      </c>
      <c r="C10" s="5">
        <f>D8+(F8*2.5%)</f>
        <v>4.9872598700677444E-3</v>
      </c>
    </row>
    <row r="11" spans="2:8" x14ac:dyDescent="0.25">
      <c r="B11" s="1"/>
    </row>
    <row r="12" spans="2:8" x14ac:dyDescent="0.25">
      <c r="C12" s="11"/>
    </row>
    <row r="13" spans="2:8" x14ac:dyDescent="0.25">
      <c r="C13" s="11"/>
    </row>
    <row r="15" spans="2:8" x14ac:dyDescent="0.25">
      <c r="B15" s="1"/>
    </row>
    <row r="16" spans="2:8" x14ac:dyDescent="0.25">
      <c r="C16" s="11"/>
    </row>
    <row r="17" spans="3:3" x14ac:dyDescent="0.25">
      <c r="C17" s="11"/>
    </row>
    <row r="18" spans="3:3" x14ac:dyDescent="0.25">
      <c r="C18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DB9-F393-4A65-BDCD-E968CF6BDA63}">
  <dimension ref="B2:M46"/>
  <sheetViews>
    <sheetView tabSelected="1" workbookViewId="0">
      <selection activeCell="D29" sqref="D29:I29"/>
    </sheetView>
  </sheetViews>
  <sheetFormatPr defaultRowHeight="15" x14ac:dyDescent="0.25"/>
  <cols>
    <col min="2" max="2" width="38.42578125" customWidth="1"/>
    <col min="3" max="3" width="13.7109375" customWidth="1"/>
    <col min="4" max="4" width="14.7109375" bestFit="1" customWidth="1"/>
    <col min="5" max="5" width="16.42578125" bestFit="1" customWidth="1"/>
    <col min="6" max="6" width="14.7109375" bestFit="1" customWidth="1"/>
    <col min="7" max="9" width="16.28515625" bestFit="1" customWidth="1"/>
    <col min="10" max="10" width="12.140625" bestFit="1" customWidth="1"/>
  </cols>
  <sheetData>
    <row r="2" spans="2:13" x14ac:dyDescent="0.25">
      <c r="B2" s="13" t="s">
        <v>17</v>
      </c>
      <c r="C2" s="13"/>
      <c r="D2" s="14"/>
      <c r="E2" s="14"/>
      <c r="F2" s="14"/>
      <c r="G2" s="14"/>
      <c r="H2" s="14"/>
      <c r="I2" s="14"/>
      <c r="J2" s="14"/>
    </row>
    <row r="3" spans="2:13" x14ac:dyDescent="0.25">
      <c r="B3" t="s">
        <v>18</v>
      </c>
    </row>
    <row r="4" spans="2:13" x14ac:dyDescent="0.25">
      <c r="C4" s="1">
        <v>2013</v>
      </c>
      <c r="D4" s="1">
        <v>2014</v>
      </c>
      <c r="E4" s="1">
        <v>2015</v>
      </c>
      <c r="F4" s="1">
        <v>2016</v>
      </c>
      <c r="G4" s="1">
        <v>2017</v>
      </c>
      <c r="H4" s="1">
        <v>2018</v>
      </c>
      <c r="I4" s="1">
        <v>2019</v>
      </c>
      <c r="J4" s="1" t="s">
        <v>14</v>
      </c>
      <c r="M4" t="s">
        <v>0</v>
      </c>
    </row>
    <row r="5" spans="2:13" x14ac:dyDescent="0.25">
      <c r="B5" t="s">
        <v>19</v>
      </c>
      <c r="C5" s="8">
        <v>114950407</v>
      </c>
      <c r="D5" s="23">
        <v>474931514</v>
      </c>
      <c r="E5" s="23">
        <v>876937458</v>
      </c>
      <c r="F5" s="24">
        <v>937471365</v>
      </c>
      <c r="G5" s="24">
        <v>1295979632</v>
      </c>
      <c r="H5" s="24">
        <v>2102651548</v>
      </c>
      <c r="I5" s="24">
        <v>2704960870</v>
      </c>
      <c r="J5" s="1"/>
      <c r="M5" t="s">
        <v>53</v>
      </c>
    </row>
    <row r="6" spans="2:13" x14ac:dyDescent="0.25">
      <c r="B6" t="s">
        <v>27</v>
      </c>
      <c r="C6" s="8"/>
      <c r="D6" s="23">
        <v>615977</v>
      </c>
      <c r="E6" s="23">
        <v>1698292</v>
      </c>
      <c r="F6" s="24">
        <v>2296151</v>
      </c>
      <c r="G6" s="24">
        <v>2711104</v>
      </c>
      <c r="H6" s="24">
        <v>4167659</v>
      </c>
      <c r="I6" s="24">
        <v>5770056</v>
      </c>
      <c r="M6" t="s">
        <v>54</v>
      </c>
    </row>
    <row r="7" spans="2:13" x14ac:dyDescent="0.25">
      <c r="B7" t="s">
        <v>15</v>
      </c>
      <c r="D7" s="18">
        <v>2.5000000000000001E-3</v>
      </c>
      <c r="E7" s="18">
        <v>2.5000000000000001E-3</v>
      </c>
      <c r="F7" s="18">
        <v>2.5000000000000001E-3</v>
      </c>
      <c r="G7" s="18">
        <v>2.5000000000000001E-3</v>
      </c>
      <c r="H7" s="18">
        <v>2.5000000000000001E-3</v>
      </c>
      <c r="I7" s="18">
        <v>2.5000000000000001E-3</v>
      </c>
      <c r="J7" s="5">
        <f>AVERAGE(D7:I7)</f>
        <v>2.5000000000000001E-3</v>
      </c>
    </row>
    <row r="8" spans="2:13" x14ac:dyDescent="0.25">
      <c r="B8" t="s">
        <v>12</v>
      </c>
      <c r="C8" s="8"/>
      <c r="D8" s="23">
        <f>(C5+D5)/2</f>
        <v>294940960.5</v>
      </c>
      <c r="E8" s="23">
        <f t="shared" ref="E8:I8" si="0">(D5+E5)/2</f>
        <v>675934486</v>
      </c>
      <c r="F8" s="23">
        <f t="shared" si="0"/>
        <v>907204411.5</v>
      </c>
      <c r="G8" s="23">
        <f t="shared" si="0"/>
        <v>1116725498.5</v>
      </c>
      <c r="H8" s="23">
        <f t="shared" si="0"/>
        <v>1699315590</v>
      </c>
      <c r="I8" s="23">
        <f t="shared" si="0"/>
        <v>2403806209</v>
      </c>
      <c r="J8" s="5"/>
      <c r="M8" t="s">
        <v>55</v>
      </c>
    </row>
    <row r="9" spans="2:13" x14ac:dyDescent="0.25">
      <c r="B9" t="s">
        <v>29</v>
      </c>
      <c r="C9" s="8"/>
      <c r="D9" s="24">
        <f>D6/D7</f>
        <v>246390800</v>
      </c>
      <c r="E9" s="24">
        <f t="shared" ref="E9:I9" si="1">E6/E7</f>
        <v>679316800</v>
      </c>
      <c r="F9" s="24">
        <f t="shared" si="1"/>
        <v>918460400</v>
      </c>
      <c r="G9" s="24">
        <f t="shared" si="1"/>
        <v>1084441600</v>
      </c>
      <c r="H9" s="24">
        <f t="shared" si="1"/>
        <v>1667063600</v>
      </c>
      <c r="I9" s="24">
        <f t="shared" si="1"/>
        <v>2308022400</v>
      </c>
      <c r="J9" s="5"/>
    </row>
    <row r="10" spans="2:13" x14ac:dyDescent="0.25">
      <c r="C10" s="8"/>
      <c r="D10" s="24"/>
      <c r="E10" s="24"/>
      <c r="F10" s="24"/>
      <c r="G10" s="24"/>
      <c r="H10" s="24"/>
      <c r="I10" s="24"/>
      <c r="J10" s="5"/>
    </row>
    <row r="11" spans="2:13" x14ac:dyDescent="0.25">
      <c r="B11" t="s">
        <v>38</v>
      </c>
      <c r="C11" s="8"/>
      <c r="D11" s="24">
        <v>693</v>
      </c>
      <c r="E11" s="24">
        <v>1325</v>
      </c>
      <c r="F11" s="24">
        <v>6885</v>
      </c>
      <c r="G11" s="24">
        <v>36075</v>
      </c>
      <c r="H11" s="24">
        <v>208125</v>
      </c>
      <c r="I11" s="24">
        <v>542060</v>
      </c>
      <c r="J11" s="5"/>
    </row>
    <row r="12" spans="2:13" x14ac:dyDescent="0.25">
      <c r="B12" t="s">
        <v>39</v>
      </c>
      <c r="C12" s="8"/>
      <c r="D12" s="23">
        <v>2527</v>
      </c>
      <c r="E12" s="23">
        <v>2832</v>
      </c>
      <c r="F12" s="24">
        <v>13695</v>
      </c>
      <c r="G12" s="24">
        <v>1260</v>
      </c>
      <c r="H12" s="24">
        <v>6198</v>
      </c>
      <c r="I12" s="24">
        <v>0</v>
      </c>
      <c r="J12" s="5"/>
    </row>
    <row r="13" spans="2:13" x14ac:dyDescent="0.25">
      <c r="B13" t="s">
        <v>43</v>
      </c>
      <c r="C13" s="8"/>
      <c r="D13" s="23">
        <f>SUM(D11:D12)</f>
        <v>3220</v>
      </c>
      <c r="E13" s="23">
        <f t="shared" ref="E13:I13" si="2">SUM(E11:E12)</f>
        <v>4157</v>
      </c>
      <c r="F13" s="23">
        <f t="shared" si="2"/>
        <v>20580</v>
      </c>
      <c r="G13" s="23">
        <f t="shared" si="2"/>
        <v>37335</v>
      </c>
      <c r="H13" s="23">
        <f t="shared" si="2"/>
        <v>214323</v>
      </c>
      <c r="I13" s="23">
        <f t="shared" si="2"/>
        <v>542060</v>
      </c>
      <c r="J13" s="5"/>
    </row>
    <row r="14" spans="2:13" x14ac:dyDescent="0.25">
      <c r="B14" t="s">
        <v>11</v>
      </c>
      <c r="C14" s="8"/>
      <c r="D14" s="21">
        <f>D13/D9</f>
        <v>1.3068669771760959E-5</v>
      </c>
      <c r="E14" s="21">
        <f t="shared" ref="E14:I14" si="3">E13/E9</f>
        <v>6.1193834746910427E-6</v>
      </c>
      <c r="F14" s="21">
        <f t="shared" si="3"/>
        <v>2.2407062950128279E-5</v>
      </c>
      <c r="G14" s="21">
        <f t="shared" si="3"/>
        <v>3.4427856696017567E-5</v>
      </c>
      <c r="H14" s="21">
        <f t="shared" si="3"/>
        <v>1.285631813927195E-4</v>
      </c>
      <c r="I14" s="21">
        <f t="shared" si="3"/>
        <v>2.34859072424947E-4</v>
      </c>
      <c r="J14" s="4">
        <f>AVERAGE(D14:I14)</f>
        <v>7.3240871118377394E-5</v>
      </c>
    </row>
    <row r="15" spans="2:13" x14ac:dyDescent="0.25">
      <c r="D15" s="19"/>
      <c r="E15" s="19"/>
      <c r="F15" s="19"/>
      <c r="G15" s="19"/>
      <c r="H15" s="19"/>
      <c r="I15" s="19"/>
      <c r="J15" s="5"/>
    </row>
    <row r="16" spans="2:13" x14ac:dyDescent="0.25">
      <c r="B16" t="s">
        <v>2</v>
      </c>
      <c r="C16" s="8"/>
      <c r="D16" s="8">
        <v>7496554</v>
      </c>
      <c r="E16" s="8">
        <v>17837465</v>
      </c>
      <c r="F16" s="8">
        <v>25181502</v>
      </c>
      <c r="G16" s="8">
        <v>28329734</v>
      </c>
      <c r="H16" s="8">
        <v>43044701</v>
      </c>
      <c r="I16" s="8">
        <v>64119281</v>
      </c>
      <c r="J16" s="5"/>
    </row>
    <row r="17" spans="2:10" x14ac:dyDescent="0.25">
      <c r="B17" t="s">
        <v>3</v>
      </c>
      <c r="C17" s="8"/>
      <c r="D17" s="8">
        <v>734078</v>
      </c>
      <c r="E17" s="8">
        <v>1970630</v>
      </c>
      <c r="F17" s="8">
        <v>3037267</v>
      </c>
      <c r="G17" s="8">
        <v>3337917</v>
      </c>
      <c r="H17" s="8">
        <v>5268891</v>
      </c>
      <c r="I17" s="8">
        <v>7444601</v>
      </c>
      <c r="J17" s="5"/>
    </row>
    <row r="18" spans="2:10" x14ac:dyDescent="0.25">
      <c r="B18" t="s">
        <v>1</v>
      </c>
      <c r="D18" s="20">
        <f>D17/D16</f>
        <v>9.7922058588519476E-2</v>
      </c>
      <c r="E18" s="20">
        <f t="shared" ref="E18:I18" si="4">E17/E16</f>
        <v>0.11047702125834585</v>
      </c>
      <c r="F18" s="20">
        <f t="shared" si="4"/>
        <v>0.12061500541151199</v>
      </c>
      <c r="G18" s="20">
        <f t="shared" si="4"/>
        <v>0.11782380307559541</v>
      </c>
      <c r="H18" s="20">
        <f t="shared" si="4"/>
        <v>0.12240510161750223</v>
      </c>
      <c r="I18" s="20">
        <f t="shared" si="4"/>
        <v>0.11610549719046288</v>
      </c>
      <c r="J18" s="5">
        <f>AVERAGE(D18:I18)</f>
        <v>0.11422474785698966</v>
      </c>
    </row>
    <row r="19" spans="2:10" x14ac:dyDescent="0.25">
      <c r="B19" t="s">
        <v>20</v>
      </c>
      <c r="D19" s="19">
        <f t="shared" ref="D19:I19" si="5">D17/D9</f>
        <v>2.9793239033275593E-3</v>
      </c>
      <c r="E19" s="19">
        <f t="shared" si="5"/>
        <v>2.9008998452562927E-3</v>
      </c>
      <c r="F19" s="19">
        <f t="shared" si="5"/>
        <v>3.3069112179469032E-3</v>
      </c>
      <c r="G19" s="19">
        <f t="shared" si="5"/>
        <v>3.0780053070631006E-3</v>
      </c>
      <c r="H19" s="19">
        <f t="shared" si="5"/>
        <v>3.1605818758204548E-3</v>
      </c>
      <c r="I19" s="19">
        <f t="shared" si="5"/>
        <v>3.2255323865140995E-3</v>
      </c>
      <c r="J19" s="5">
        <f>AVERAGE(D19:I19)</f>
        <v>3.1085424226547347E-3</v>
      </c>
    </row>
    <row r="20" spans="2:10" x14ac:dyDescent="0.25">
      <c r="D20" s="19"/>
      <c r="E20" s="19"/>
      <c r="F20" s="19"/>
      <c r="G20" s="19"/>
      <c r="H20" s="19"/>
      <c r="I20" s="19"/>
      <c r="J20" s="5"/>
    </row>
    <row r="21" spans="2:10" x14ac:dyDescent="0.25">
      <c r="B21" t="s">
        <v>52</v>
      </c>
      <c r="D21" s="24">
        <v>0</v>
      </c>
      <c r="E21" s="24">
        <v>158</v>
      </c>
      <c r="F21" s="24">
        <v>1396</v>
      </c>
      <c r="G21" s="24">
        <v>2885</v>
      </c>
      <c r="H21" s="24">
        <v>9018</v>
      </c>
      <c r="I21" s="24">
        <v>5758</v>
      </c>
    </row>
    <row r="22" spans="2:10" x14ac:dyDescent="0.25">
      <c r="B22" t="s">
        <v>28</v>
      </c>
      <c r="D22" s="24">
        <v>9869</v>
      </c>
      <c r="E22" s="24">
        <v>21633</v>
      </c>
      <c r="F22" s="24">
        <v>10148</v>
      </c>
      <c r="G22" s="24">
        <v>13195</v>
      </c>
      <c r="H22" s="24">
        <v>12842</v>
      </c>
      <c r="I22" s="24">
        <v>2048</v>
      </c>
      <c r="J22" s="5"/>
    </row>
    <row r="23" spans="2:10" x14ac:dyDescent="0.25">
      <c r="B23" t="s">
        <v>11</v>
      </c>
      <c r="D23" s="22">
        <f>(D22+D21)/D9</f>
        <v>4.0054255272518293E-5</v>
      </c>
      <c r="E23" s="22">
        <f>(E22+E21)/E9</f>
        <v>3.2077817006733823E-5</v>
      </c>
      <c r="F23" s="22">
        <f t="shared" ref="F23:I23" si="6">(F22+F21)/F9</f>
        <v>1.2568859800596738E-5</v>
      </c>
      <c r="G23" s="22">
        <f t="shared" si="6"/>
        <v>1.4827907745331792E-5</v>
      </c>
      <c r="H23" s="22">
        <f t="shared" si="6"/>
        <v>1.3112877037204819E-5</v>
      </c>
      <c r="I23" s="22">
        <f t="shared" si="6"/>
        <v>3.3821162220955914E-6</v>
      </c>
      <c r="J23" s="4">
        <f>AVERAGE(D23:I23)</f>
        <v>1.9337305514080175E-5</v>
      </c>
    </row>
    <row r="24" spans="2:10" x14ac:dyDescent="0.25">
      <c r="D24" s="19"/>
      <c r="E24" s="19"/>
      <c r="F24" s="19"/>
      <c r="G24" s="19"/>
      <c r="H24" s="19"/>
      <c r="I24" s="19"/>
      <c r="J24" s="5"/>
    </row>
    <row r="25" spans="2:10" x14ac:dyDescent="0.25">
      <c r="B25" t="s">
        <v>30</v>
      </c>
      <c r="C25" s="8"/>
      <c r="D25" s="24"/>
      <c r="E25" s="24"/>
      <c r="F25" s="24"/>
      <c r="G25" s="24">
        <v>984905</v>
      </c>
      <c r="H25" s="24">
        <v>3201782</v>
      </c>
      <c r="I25" s="24">
        <v>7704750</v>
      </c>
      <c r="J25" s="5"/>
    </row>
    <row r="26" spans="2:10" x14ac:dyDescent="0.25">
      <c r="D26" s="17"/>
      <c r="E26" s="17"/>
      <c r="F26" s="17"/>
      <c r="G26" s="19">
        <f>G25/G5</f>
        <v>7.5996950544667203E-4</v>
      </c>
      <c r="H26" s="19">
        <f t="shared" ref="H26:I26" si="7">H25/H5</f>
        <v>1.5227354256797665E-3</v>
      </c>
      <c r="I26" s="19">
        <f t="shared" si="7"/>
        <v>2.8483776181205903E-3</v>
      </c>
      <c r="J26" s="5"/>
    </row>
    <row r="27" spans="2:10" x14ac:dyDescent="0.25">
      <c r="D27" s="17"/>
      <c r="E27" s="17"/>
      <c r="F27" s="17"/>
      <c r="G27" s="17"/>
      <c r="H27" s="17"/>
      <c r="I27" s="17"/>
      <c r="J27" s="5"/>
    </row>
    <row r="28" spans="2:10" x14ac:dyDescent="0.25">
      <c r="B28" t="s">
        <v>21</v>
      </c>
      <c r="C28" s="8"/>
      <c r="F28" s="24"/>
      <c r="G28" s="24">
        <v>44238</v>
      </c>
      <c r="H28" s="24">
        <v>121589</v>
      </c>
      <c r="I28" s="24">
        <v>263359</v>
      </c>
      <c r="J28" s="5"/>
    </row>
    <row r="29" spans="2:10" x14ac:dyDescent="0.25">
      <c r="B29" t="s">
        <v>22</v>
      </c>
      <c r="D29" s="21">
        <f>D28/D9</f>
        <v>0</v>
      </c>
      <c r="E29" s="21">
        <f t="shared" ref="E29:I29" si="8">E28/E9</f>
        <v>0</v>
      </c>
      <c r="F29" s="21">
        <f t="shared" si="8"/>
        <v>0</v>
      </c>
      <c r="G29" s="21">
        <f t="shared" si="8"/>
        <v>4.0793344703854958E-5</v>
      </c>
      <c r="H29" s="21">
        <f t="shared" si="8"/>
        <v>7.2936029555201135E-5</v>
      </c>
      <c r="I29" s="21">
        <f t="shared" si="8"/>
        <v>1.1410591162373468E-4</v>
      </c>
      <c r="J29" s="4">
        <f>AVERAGE(D29:I29)</f>
        <v>3.7972547647131794E-5</v>
      </c>
    </row>
    <row r="30" spans="2:10" x14ac:dyDescent="0.25">
      <c r="D30" s="16"/>
      <c r="E30" s="16"/>
      <c r="F30" s="17"/>
      <c r="G30" s="17"/>
      <c r="H30" s="17"/>
      <c r="I30" s="17"/>
      <c r="J30" s="5"/>
    </row>
    <row r="31" spans="2:10" x14ac:dyDescent="0.25">
      <c r="B31" t="s">
        <v>31</v>
      </c>
      <c r="C31" s="8"/>
      <c r="D31" s="8">
        <v>282714</v>
      </c>
      <c r="E31" s="23">
        <v>332383</v>
      </c>
      <c r="F31" s="24">
        <v>250041</v>
      </c>
      <c r="G31" s="24">
        <v>214668</v>
      </c>
      <c r="H31" s="24">
        <v>556031</v>
      </c>
      <c r="I31" s="24">
        <v>394506</v>
      </c>
      <c r="J31" s="5"/>
    </row>
    <row r="32" spans="2:10" x14ac:dyDescent="0.25">
      <c r="B32" t="s">
        <v>23</v>
      </c>
      <c r="D32" s="19">
        <f t="shared" ref="D32:I32" si="9">D31/D9</f>
        <v>1.1474210887744186E-3</v>
      </c>
      <c r="E32" s="19">
        <f t="shared" si="9"/>
        <v>4.8929012207559125E-4</v>
      </c>
      <c r="F32" s="19">
        <f t="shared" si="9"/>
        <v>2.7223928217264459E-4</v>
      </c>
      <c r="G32" s="19">
        <f t="shared" si="9"/>
        <v>1.979525684001794E-4</v>
      </c>
      <c r="H32" s="19">
        <f t="shared" si="9"/>
        <v>3.335391643126273E-4</v>
      </c>
      <c r="I32" s="22">
        <f t="shared" si="9"/>
        <v>1.7092815043736145E-4</v>
      </c>
      <c r="J32" s="5">
        <f>AVERAGE(D32:I32)</f>
        <v>4.3522839602880368E-4</v>
      </c>
    </row>
    <row r="33" spans="2:10" x14ac:dyDescent="0.25">
      <c r="D33" s="19"/>
      <c r="E33" s="19"/>
      <c r="F33" s="19"/>
      <c r="G33" s="19"/>
      <c r="H33" s="19"/>
      <c r="I33" s="22"/>
      <c r="J33" s="5"/>
    </row>
    <row r="34" spans="2:10" x14ac:dyDescent="0.25">
      <c r="B34" t="s">
        <v>26</v>
      </c>
      <c r="D34" s="19"/>
      <c r="E34" s="19">
        <v>1E-4</v>
      </c>
      <c r="F34" s="19">
        <v>0</v>
      </c>
      <c r="G34" s="19">
        <v>0</v>
      </c>
      <c r="H34" s="19">
        <v>2.0000000000000001E-4</v>
      </c>
      <c r="I34" s="19">
        <v>2.0000000000000001E-4</v>
      </c>
      <c r="J34" s="5"/>
    </row>
    <row r="35" spans="2:10" x14ac:dyDescent="0.25">
      <c r="D35" s="19"/>
      <c r="E35" s="19"/>
      <c r="F35" s="19"/>
      <c r="G35" s="19"/>
      <c r="H35" s="19"/>
      <c r="I35" s="19"/>
      <c r="J35" s="5"/>
    </row>
    <row r="36" spans="2:10" x14ac:dyDescent="0.25">
      <c r="J36" s="22"/>
    </row>
    <row r="37" spans="2:10" x14ac:dyDescent="0.25">
      <c r="B37" t="s">
        <v>24</v>
      </c>
      <c r="C37" s="5">
        <f>J7+J19-J29+J32-J14+J23</f>
        <v>5.9518947054321104E-3</v>
      </c>
      <c r="F37" s="12"/>
      <c r="G37" s="12"/>
      <c r="H37" s="22"/>
      <c r="I37" s="22"/>
      <c r="J37" s="22"/>
    </row>
    <row r="38" spans="2:10" x14ac:dyDescent="0.25">
      <c r="B38" t="s">
        <v>25</v>
      </c>
      <c r="C38" s="5">
        <f>TD!K5/100</f>
        <v>5.5999999999999982E-3</v>
      </c>
    </row>
    <row r="39" spans="2:10" x14ac:dyDescent="0.25">
      <c r="B39" t="s">
        <v>41</v>
      </c>
      <c r="C39" s="5">
        <f>C38-C37</f>
        <v>-3.518947054321122E-4</v>
      </c>
    </row>
    <row r="41" spans="2:10" x14ac:dyDescent="0.25">
      <c r="B41" s="1" t="s">
        <v>16</v>
      </c>
      <c r="C41" s="15">
        <f>0.22%-H14+J19-I29+I32+I23</f>
        <v>5.2401835962977376E-3</v>
      </c>
    </row>
    <row r="42" spans="2:10" x14ac:dyDescent="0.25">
      <c r="B42" s="1" t="s">
        <v>51</v>
      </c>
      <c r="C42" s="15">
        <f>0.22%-H14-I29+I32+I23</f>
        <v>2.1316411736430033E-3</v>
      </c>
    </row>
    <row r="43" spans="2:10" x14ac:dyDescent="0.25">
      <c r="B43" s="1"/>
      <c r="C43" s="15"/>
    </row>
    <row r="44" spans="2:10" x14ac:dyDescent="0.25">
      <c r="B44" s="2" t="s">
        <v>42</v>
      </c>
      <c r="C44" s="15">
        <f>C41-C37</f>
        <v>-7.1171110913437283E-4</v>
      </c>
    </row>
    <row r="45" spans="2:10" x14ac:dyDescent="0.25">
      <c r="B45" s="1" t="s">
        <v>40</v>
      </c>
      <c r="C45" s="15">
        <f>C38+C44</f>
        <v>4.8882888908656254E-3</v>
      </c>
      <c r="E45" s="12"/>
      <c r="F45" s="12"/>
      <c r="G45" s="12"/>
      <c r="H45" s="11"/>
      <c r="I45" s="11"/>
      <c r="J45" s="11"/>
    </row>
    <row r="46" spans="2:10" x14ac:dyDescent="0.25">
      <c r="E46" s="12"/>
      <c r="F46" s="12"/>
      <c r="G46" s="12"/>
      <c r="H46" s="11"/>
      <c r="I46" s="11"/>
      <c r="J46" s="1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71D4-8CAB-4791-86A4-56A1D92A09CA}">
  <dimension ref="B1:L19"/>
  <sheetViews>
    <sheetView workbookViewId="0">
      <selection activeCell="D20" sqref="D20"/>
    </sheetView>
  </sheetViews>
  <sheetFormatPr defaultRowHeight="15" x14ac:dyDescent="0.25"/>
  <cols>
    <col min="2" max="2" width="41.140625" bestFit="1" customWidth="1"/>
  </cols>
  <sheetData>
    <row r="1" spans="2:12" x14ac:dyDescent="0.25">
      <c r="C1" s="29">
        <v>2013</v>
      </c>
      <c r="D1" s="29">
        <v>2014</v>
      </c>
      <c r="E1" s="29">
        <v>2015</v>
      </c>
      <c r="F1" s="29">
        <v>2016</v>
      </c>
      <c r="G1" s="29">
        <v>2017</v>
      </c>
      <c r="H1" s="29">
        <v>2018</v>
      </c>
      <c r="I1" s="29">
        <v>2019</v>
      </c>
      <c r="K1" s="1" t="s">
        <v>13</v>
      </c>
      <c r="L1" s="1" t="s">
        <v>37</v>
      </c>
    </row>
    <row r="2" spans="2:12" x14ac:dyDescent="0.25">
      <c r="B2" s="25" t="s">
        <v>32</v>
      </c>
      <c r="C2" s="26">
        <v>22.82</v>
      </c>
      <c r="D2" s="26">
        <v>4.28</v>
      </c>
      <c r="E2" s="26">
        <v>-2.23</v>
      </c>
      <c r="F2" s="26">
        <v>7.98</v>
      </c>
      <c r="G2" s="26">
        <v>23.98</v>
      </c>
      <c r="H2" s="26">
        <v>-9.6199999999999992</v>
      </c>
      <c r="I2" s="26">
        <v>26.57</v>
      </c>
      <c r="J2" s="27"/>
      <c r="K2" s="27"/>
      <c r="L2" s="27"/>
    </row>
    <row r="3" spans="2:12" x14ac:dyDescent="0.25">
      <c r="B3" s="25" t="s">
        <v>33</v>
      </c>
      <c r="C3" s="27">
        <v>23.3</v>
      </c>
      <c r="D3" s="27">
        <v>4.8</v>
      </c>
      <c r="E3" s="27">
        <v>-1.7</v>
      </c>
      <c r="F3" s="27">
        <v>8.6</v>
      </c>
      <c r="G3" s="27">
        <v>24.6</v>
      </c>
      <c r="H3" s="27">
        <v>-9.1</v>
      </c>
      <c r="I3" s="27">
        <v>27.2</v>
      </c>
      <c r="J3" s="27"/>
      <c r="K3" s="27"/>
      <c r="L3" s="27"/>
    </row>
    <row r="4" spans="2:12" x14ac:dyDescent="0.25">
      <c r="B4" s="25" t="s">
        <v>34</v>
      </c>
      <c r="C4" s="28">
        <v>22.69</v>
      </c>
      <c r="D4" s="28">
        <v>4.2300000000000004</v>
      </c>
      <c r="E4" s="28">
        <v>-2.17</v>
      </c>
      <c r="F4" s="28">
        <v>8</v>
      </c>
      <c r="G4" s="28">
        <v>23.97</v>
      </c>
      <c r="H4" s="28">
        <v>-9.57</v>
      </c>
      <c r="I4" s="28">
        <v>26.52</v>
      </c>
      <c r="J4" s="27"/>
      <c r="K4" s="27"/>
      <c r="L4" s="27"/>
    </row>
    <row r="5" spans="2:12" x14ac:dyDescent="0.25">
      <c r="B5" s="25" t="s">
        <v>35</v>
      </c>
      <c r="C5" s="26">
        <f t="shared" ref="C5:I5" si="0">C3-C2</f>
        <v>0.48000000000000043</v>
      </c>
      <c r="D5" s="26">
        <f t="shared" si="0"/>
        <v>0.51999999999999957</v>
      </c>
      <c r="E5" s="26">
        <f t="shared" si="0"/>
        <v>0.53</v>
      </c>
      <c r="F5" s="26">
        <f t="shared" si="0"/>
        <v>0.61999999999999922</v>
      </c>
      <c r="G5" s="26">
        <f t="shared" si="0"/>
        <v>0.62000000000000099</v>
      </c>
      <c r="H5" s="26">
        <f t="shared" si="0"/>
        <v>0.51999999999999957</v>
      </c>
      <c r="I5" s="26">
        <f t="shared" si="0"/>
        <v>0.62999999999999901</v>
      </c>
      <c r="J5" s="27"/>
      <c r="K5" s="30">
        <f>AVERAGE(C5:I5)</f>
        <v>0.55999999999999983</v>
      </c>
      <c r="L5" s="31"/>
    </row>
    <row r="6" spans="2:12" x14ac:dyDescent="0.25">
      <c r="B6" s="25" t="s">
        <v>36</v>
      </c>
      <c r="C6" s="26">
        <f>C2-C4</f>
        <v>0.12999999999999901</v>
      </c>
      <c r="D6" s="26">
        <f t="shared" ref="D6:I6" si="1">D2-D4</f>
        <v>4.9999999999999822E-2</v>
      </c>
      <c r="E6" s="26">
        <f t="shared" si="1"/>
        <v>-6.0000000000000053E-2</v>
      </c>
      <c r="F6" s="26">
        <f t="shared" si="1"/>
        <v>-1.9999999999999574E-2</v>
      </c>
      <c r="G6" s="26">
        <f t="shared" si="1"/>
        <v>1.0000000000001563E-2</v>
      </c>
      <c r="H6" s="26">
        <f t="shared" si="1"/>
        <v>-4.9999999999998934E-2</v>
      </c>
      <c r="I6" s="26">
        <f t="shared" si="1"/>
        <v>5.0000000000000711E-2</v>
      </c>
      <c r="J6" s="27"/>
      <c r="K6" s="31"/>
      <c r="L6" s="31">
        <f>AVERAGE(C6:I6)</f>
        <v>1.5714285714286076E-2</v>
      </c>
    </row>
    <row r="7" spans="2:12" x14ac:dyDescent="0.25">
      <c r="K7" s="32"/>
      <c r="L7" s="32"/>
    </row>
    <row r="8" spans="2:12" x14ac:dyDescent="0.25">
      <c r="K8" s="32"/>
      <c r="L8" s="32"/>
    </row>
    <row r="9" spans="2:12" x14ac:dyDescent="0.25">
      <c r="B9" s="25"/>
      <c r="C9" s="26"/>
      <c r="D9" s="26"/>
      <c r="E9" s="26"/>
      <c r="F9" s="26"/>
      <c r="G9" s="26"/>
      <c r="H9" s="26"/>
      <c r="I9" s="26"/>
      <c r="K9" s="32"/>
      <c r="L9" s="32"/>
    </row>
    <row r="10" spans="2:12" x14ac:dyDescent="0.25">
      <c r="B10" s="25"/>
      <c r="C10" s="26"/>
      <c r="D10" s="26"/>
      <c r="E10" s="26"/>
      <c r="F10" s="26"/>
      <c r="G10" s="26"/>
      <c r="H10" s="26"/>
      <c r="I10" s="26"/>
      <c r="K10" s="32"/>
      <c r="L10" s="32"/>
    </row>
    <row r="11" spans="2:12" x14ac:dyDescent="0.25">
      <c r="B11" s="25"/>
      <c r="C11" s="26"/>
      <c r="D11" s="27"/>
      <c r="E11" s="27"/>
      <c r="F11" s="27"/>
      <c r="G11" s="27"/>
      <c r="H11" s="27"/>
      <c r="I11" s="27"/>
      <c r="K11" s="32"/>
      <c r="L11" s="32"/>
    </row>
    <row r="12" spans="2:12" x14ac:dyDescent="0.25">
      <c r="B12" s="25"/>
      <c r="C12" s="26"/>
      <c r="D12" s="26"/>
      <c r="E12" s="26"/>
      <c r="F12" s="26"/>
      <c r="G12" s="26"/>
      <c r="H12" s="26"/>
      <c r="I12" s="26"/>
      <c r="K12" s="33"/>
      <c r="L12" s="32"/>
    </row>
    <row r="13" spans="2:12" x14ac:dyDescent="0.25">
      <c r="B13" s="25"/>
      <c r="C13" s="26"/>
      <c r="D13" s="26"/>
      <c r="E13" s="26"/>
      <c r="F13" s="26"/>
      <c r="G13" s="26"/>
      <c r="H13" s="26"/>
      <c r="I13" s="26"/>
      <c r="K13" s="32"/>
      <c r="L13" s="32"/>
    </row>
    <row r="16" spans="2:12" x14ac:dyDescent="0.25">
      <c r="B16" s="25"/>
    </row>
    <row r="17" spans="2:12" x14ac:dyDescent="0.25">
      <c r="B17" s="25"/>
      <c r="D17" s="7"/>
      <c r="E17" s="7"/>
      <c r="F17" s="7"/>
      <c r="G17" s="7"/>
      <c r="H17" s="7"/>
      <c r="I17" s="7"/>
    </row>
    <row r="18" spans="2:12" x14ac:dyDescent="0.25">
      <c r="B18" s="25"/>
      <c r="D18" s="7"/>
      <c r="E18" s="7"/>
      <c r="F18" s="7"/>
      <c r="G18" s="7"/>
      <c r="H18" s="7"/>
      <c r="I18" s="7"/>
      <c r="K18" s="32"/>
    </row>
    <row r="19" spans="2:12" x14ac:dyDescent="0.25">
      <c r="B19" s="25"/>
      <c r="D19" s="7"/>
      <c r="E19" s="7"/>
      <c r="F19" s="7"/>
      <c r="G19" s="7"/>
      <c r="H19" s="7"/>
      <c r="I19" s="7"/>
      <c r="L19" s="32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69C5-6D31-44B8-AA06-7A631D93EE50}">
  <dimension ref="B1:J13"/>
  <sheetViews>
    <sheetView workbookViewId="0">
      <selection activeCell="L14" sqref="L14"/>
    </sheetView>
  </sheetViews>
  <sheetFormatPr defaultRowHeight="15" x14ac:dyDescent="0.25"/>
  <cols>
    <col min="2" max="2" width="43.42578125" bestFit="1" customWidth="1"/>
  </cols>
  <sheetData>
    <row r="1" spans="2:10" x14ac:dyDescent="0.25"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/>
      <c r="J1" s="1" t="s">
        <v>68</v>
      </c>
    </row>
    <row r="2" spans="2:10" x14ac:dyDescent="0.25">
      <c r="B2" s="1" t="s">
        <v>66</v>
      </c>
      <c r="C2" s="6"/>
      <c r="D2" s="6"/>
      <c r="E2" s="6"/>
      <c r="F2" s="6"/>
      <c r="G2" s="6"/>
      <c r="H2" s="6">
        <f>37489/296356</f>
        <v>0.12649988527311748</v>
      </c>
      <c r="J2" s="35">
        <f>AVERAGE(C2:H2)</f>
        <v>0.12649988527311748</v>
      </c>
    </row>
    <row r="3" spans="2:10" x14ac:dyDescent="0.25">
      <c r="B3" s="1" t="s">
        <v>67</v>
      </c>
      <c r="C3" s="6">
        <f>87602/47464893</f>
        <v>1.8456167171808436E-3</v>
      </c>
      <c r="D3" s="6">
        <f>568633/61443719</f>
        <v>9.2545342185423388E-3</v>
      </c>
      <c r="E3" s="6">
        <f>1476432/105359240</f>
        <v>1.4013312928225375E-2</v>
      </c>
      <c r="F3" s="6">
        <f>895025/81673540</f>
        <v>1.0958567487095576E-2</v>
      </c>
      <c r="G3" s="6">
        <f>1522926/110267237</f>
        <v>1.3811228443132206E-2</v>
      </c>
      <c r="H3" s="6">
        <f>1667965/126621109</f>
        <v>1.3172882572052026E-2</v>
      </c>
      <c r="J3" s="35">
        <f t="shared" ref="J3:J13" si="0">AVERAGE(C3:H3)</f>
        <v>1.050935706103806E-2</v>
      </c>
    </row>
    <row r="4" spans="2:10" x14ac:dyDescent="0.25">
      <c r="B4" s="1" t="s">
        <v>69</v>
      </c>
      <c r="C4" s="6"/>
      <c r="D4" s="6"/>
      <c r="E4" s="6"/>
      <c r="F4" s="6"/>
      <c r="G4" s="6"/>
      <c r="H4" s="6"/>
      <c r="J4" s="35">
        <f>VWRL!J18</f>
        <v>0.11422474785698966</v>
      </c>
    </row>
    <row r="5" spans="2:10" x14ac:dyDescent="0.25">
      <c r="B5" s="1" t="s">
        <v>65</v>
      </c>
      <c r="C5" s="6">
        <f>276998/3363386</f>
        <v>8.2356886780167365E-2</v>
      </c>
      <c r="D5" s="6">
        <f>993993/9974527</f>
        <v>9.9653146459977499E-2</v>
      </c>
      <c r="E5" s="6">
        <f>1526539/14343861</f>
        <v>0.10642455333330406</v>
      </c>
      <c r="F5" s="6">
        <f>1933590/18057679</f>
        <v>0.10707854536565857</v>
      </c>
      <c r="G5" s="6">
        <f>2658425/25206083</f>
        <v>0.10546759684953827</v>
      </c>
      <c r="H5" s="6">
        <f>3332714/30787587</f>
        <v>0.10824862630514044</v>
      </c>
      <c r="I5" s="34"/>
      <c r="J5" s="35">
        <f t="shared" si="0"/>
        <v>0.10153822584896437</v>
      </c>
    </row>
    <row r="6" spans="2:10" x14ac:dyDescent="0.25">
      <c r="B6" s="1" t="s">
        <v>57</v>
      </c>
      <c r="C6" s="6">
        <f>38753/1151217</f>
        <v>3.3662637018042646E-2</v>
      </c>
      <c r="D6" s="6">
        <f>95674/2910412</f>
        <v>3.2873009044767545E-2</v>
      </c>
      <c r="E6" s="6">
        <f>135521/3697627</f>
        <v>3.6650803339547226E-2</v>
      </c>
      <c r="F6" s="6">
        <f>217184/6020134</f>
        <v>3.6076273385276809E-2</v>
      </c>
      <c r="G6" s="6">
        <f>396984/12310610</f>
        <v>3.2247305373169971E-2</v>
      </c>
      <c r="H6" s="6">
        <f>725905/14080736</f>
        <v>5.1553058021967031E-2</v>
      </c>
      <c r="I6" s="34"/>
      <c r="J6" s="35">
        <f t="shared" si="0"/>
        <v>3.7177181030461866E-2</v>
      </c>
    </row>
    <row r="7" spans="2:10" x14ac:dyDescent="0.25">
      <c r="B7" s="1" t="s">
        <v>58</v>
      </c>
      <c r="C7" s="6">
        <f>449779/6453840</f>
        <v>6.9691687429499341E-2</v>
      </c>
      <c r="D7" s="6">
        <f>98042/1768698</f>
        <v>5.5431735660921196E-2</v>
      </c>
      <c r="E7" s="6">
        <f>1214196/16699948</f>
        <v>7.2706573697115709E-2</v>
      </c>
      <c r="F7" s="6">
        <f>2137859/28612288</f>
        <v>7.4718211979412488E-2</v>
      </c>
      <c r="G7" s="6">
        <f>4211322/55451908</f>
        <v>7.5945484148173939E-2</v>
      </c>
      <c r="H7" s="6">
        <f>4497447/63355725</f>
        <v>7.0987223333013716E-2</v>
      </c>
      <c r="I7" s="34"/>
      <c r="J7" s="35">
        <f t="shared" si="0"/>
        <v>6.9913486041356068E-2</v>
      </c>
    </row>
    <row r="8" spans="2:10" x14ac:dyDescent="0.25">
      <c r="B8" s="1" t="s">
        <v>59</v>
      </c>
      <c r="C8" s="6"/>
      <c r="D8" s="6">
        <f>146930/1398033</f>
        <v>0.10509766221541265</v>
      </c>
      <c r="E8" s="6">
        <f>721453/6516531</f>
        <v>0.1107112050874921</v>
      </c>
      <c r="F8" s="6">
        <f>1277534/12552233</f>
        <v>0.10177742876506515</v>
      </c>
      <c r="G8" s="6">
        <f>3575141/33665380</f>
        <v>0.1061963655244646</v>
      </c>
      <c r="H8" s="6">
        <f>3893883/38411323</f>
        <v>0.10137331119784652</v>
      </c>
      <c r="J8" s="35">
        <f t="shared" si="0"/>
        <v>0.10503119455805621</v>
      </c>
    </row>
    <row r="9" spans="2:10" x14ac:dyDescent="0.25">
      <c r="B9" s="1" t="s">
        <v>60</v>
      </c>
      <c r="C9" s="6"/>
      <c r="D9" s="6">
        <f>66149/572890</f>
        <v>0.11546544711899318</v>
      </c>
      <c r="E9" s="6">
        <f>156844/1316266</f>
        <v>0.11915828563527434</v>
      </c>
      <c r="F9" s="6">
        <f>255100/2129637</f>
        <v>0.1197856723939338</v>
      </c>
      <c r="G9" s="6">
        <f>487837/3930173</f>
        <v>0.12412608808823429</v>
      </c>
      <c r="H9" s="6">
        <f>877262/7446153</f>
        <v>0.11781412495821668</v>
      </c>
      <c r="I9" s="34"/>
      <c r="J9" s="35">
        <f t="shared" si="0"/>
        <v>0.11926992363893045</v>
      </c>
    </row>
    <row r="10" spans="2:10" x14ac:dyDescent="0.25">
      <c r="B10" s="1" t="s">
        <v>61</v>
      </c>
      <c r="C10" s="6">
        <f>298586/3325881</f>
        <v>8.9776513350898604E-2</v>
      </c>
      <c r="D10" s="6">
        <f>1274164/13386831</f>
        <v>9.5180405280383379E-2</v>
      </c>
      <c r="E10" s="6">
        <f>1706810/17405209</f>
        <v>9.8063171778057942E-2</v>
      </c>
      <c r="F10" s="6">
        <f>3013440/29020960</f>
        <v>0.10383667528572453</v>
      </c>
      <c r="G10" s="6">
        <f>4856073/44723633</f>
        <v>0.10857957357802306</v>
      </c>
      <c r="H10" s="6">
        <f>5576288/55691122</f>
        <v>0.10012884998079227</v>
      </c>
      <c r="I10" s="34"/>
      <c r="J10" s="35">
        <f t="shared" si="0"/>
        <v>9.9260864875646629E-2</v>
      </c>
    </row>
    <row r="11" spans="2:10" x14ac:dyDescent="0.25">
      <c r="B11" s="1" t="s">
        <v>62</v>
      </c>
      <c r="C11" s="6">
        <f>160529/1233458</f>
        <v>0.1301454934014778</v>
      </c>
      <c r="D11" s="6">
        <f>1532098/10217727</f>
        <v>0.14994509052747251</v>
      </c>
      <c r="E11" s="6">
        <f>2439137/16266986</f>
        <v>0.14994400314846279</v>
      </c>
      <c r="F11" s="6">
        <f>2650584/17759481</f>
        <v>0.14924895609280475</v>
      </c>
      <c r="G11" s="6">
        <f>5929674/39527484</f>
        <v>0.15001394978744409</v>
      </c>
      <c r="H11" s="6">
        <f>6964518/46429139</f>
        <v>0.15000316934587135</v>
      </c>
      <c r="I11" s="34"/>
      <c r="J11" s="35">
        <f t="shared" si="0"/>
        <v>0.14655011038392221</v>
      </c>
    </row>
    <row r="12" spans="2:10" x14ac:dyDescent="0.25">
      <c r="B12" s="1" t="s">
        <v>63</v>
      </c>
      <c r="C12" s="6"/>
      <c r="D12" s="6">
        <f>39362/256875</f>
        <v>0.15323406326034064</v>
      </c>
      <c r="E12" s="6">
        <f>65794/408533</f>
        <v>0.16104941338888168</v>
      </c>
      <c r="F12" s="6">
        <f>133040/825605</f>
        <v>0.16114243494164884</v>
      </c>
      <c r="G12" s="6">
        <f>433061/2477912</f>
        <v>0.17476851478180017</v>
      </c>
      <c r="H12" s="6">
        <f>689318/4448721</f>
        <v>0.15494745568445403</v>
      </c>
      <c r="I12" s="34"/>
      <c r="J12" s="35">
        <f t="shared" si="0"/>
        <v>0.16102837641142506</v>
      </c>
    </row>
    <row r="13" spans="2:10" x14ac:dyDescent="0.25">
      <c r="B13" s="1" t="s">
        <v>64</v>
      </c>
      <c r="C13" s="6">
        <f>7721652/52371805</f>
        <v>0.14743910392242543</v>
      </c>
      <c r="D13" s="6">
        <f>27863194/196059743</f>
        <v>0.14211583455967297</v>
      </c>
      <c r="E13" s="6">
        <f>41287532/271884091</f>
        <v>0.15185710884422435</v>
      </c>
      <c r="F13" s="6">
        <f>52477342/354919338</f>
        <v>0.14785709422234974</v>
      </c>
      <c r="G13" s="6">
        <f>62709293/420900920</f>
        <v>0.1489882535775878</v>
      </c>
      <c r="H13" s="6">
        <f>79389011/484099232</f>
        <v>0.16399325954724919</v>
      </c>
      <c r="I13" s="34"/>
      <c r="J13" s="35">
        <f t="shared" si="0"/>
        <v>0.15037510911225158</v>
      </c>
    </row>
  </sheetData>
  <conditionalFormatting sqref="J2:J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8E11-B03E-4972-9221-D29D18184BF1}">
  <dimension ref="A2:V38"/>
  <sheetViews>
    <sheetView workbookViewId="0">
      <selection activeCell="T6" sqref="T6"/>
    </sheetView>
  </sheetViews>
  <sheetFormatPr defaultRowHeight="15" x14ac:dyDescent="0.25"/>
  <cols>
    <col min="2" max="2" width="21.140625" customWidth="1"/>
    <col min="19" max="19" width="26.42578125" customWidth="1"/>
    <col min="20" max="20" width="16" customWidth="1"/>
    <col min="21" max="21" width="18.5703125" customWidth="1"/>
  </cols>
  <sheetData>
    <row r="2" spans="1:22" x14ac:dyDescent="0.25">
      <c r="A2" s="5"/>
    </row>
    <row r="3" spans="1:22" x14ac:dyDescent="0.25">
      <c r="A3" s="5"/>
      <c r="C3" s="1">
        <v>2019</v>
      </c>
      <c r="D3" s="1">
        <v>2018</v>
      </c>
      <c r="E3" s="1">
        <v>2017</v>
      </c>
      <c r="F3" s="1">
        <v>2016</v>
      </c>
      <c r="G3" s="1">
        <v>2015</v>
      </c>
      <c r="H3" s="1">
        <v>2014</v>
      </c>
      <c r="I3" s="1">
        <v>2013</v>
      </c>
      <c r="J3" s="1">
        <v>2012</v>
      </c>
      <c r="K3" s="1">
        <v>2011</v>
      </c>
      <c r="L3" s="1">
        <v>2010</v>
      </c>
      <c r="M3" s="1">
        <v>2009</v>
      </c>
      <c r="N3" s="1">
        <v>2008</v>
      </c>
      <c r="O3" s="1">
        <v>2007</v>
      </c>
      <c r="P3" s="1">
        <v>2006</v>
      </c>
      <c r="Q3" s="1">
        <v>2005</v>
      </c>
      <c r="S3" s="1" t="s">
        <v>6</v>
      </c>
      <c r="T3" s="1" t="s">
        <v>5</v>
      </c>
      <c r="U3" s="1" t="s">
        <v>7</v>
      </c>
    </row>
    <row r="4" spans="1:22" x14ac:dyDescent="0.25">
      <c r="A4" s="5"/>
      <c r="B4" t="s">
        <v>4</v>
      </c>
      <c r="C4" s="5">
        <v>2.5499999999999998E-2</v>
      </c>
      <c r="D4" s="5">
        <v>1.8700000000000001E-2</v>
      </c>
      <c r="E4" s="5">
        <v>2.4299999999999999E-2</v>
      </c>
      <c r="F4" s="5">
        <v>2.2700000000000001E-2</v>
      </c>
      <c r="G4" s="5">
        <v>1.9300000000000001E-2</v>
      </c>
      <c r="H4" s="5">
        <v>2.3300000000000001E-2</v>
      </c>
      <c r="I4" s="5">
        <v>2.4500000000000001E-2</v>
      </c>
      <c r="S4" s="5">
        <f>AVERAGE(C4:M4)</f>
        <v>2.2614285714285715E-2</v>
      </c>
      <c r="T4" s="10">
        <f>(100-(VWRL!J18*100))/100</f>
        <v>0.88577525214301034</v>
      </c>
      <c r="U4" s="5">
        <f>S4/T4</f>
        <v>2.5530500721908395E-2</v>
      </c>
    </row>
    <row r="5" spans="1:22" x14ac:dyDescent="0.25">
      <c r="A5" s="5"/>
      <c r="S5" s="5"/>
    </row>
    <row r="6" spans="1:22" x14ac:dyDescent="0.25">
      <c r="A6" s="5"/>
      <c r="B6" t="s">
        <v>9</v>
      </c>
      <c r="C6" s="5">
        <v>2.7099999999999999E-2</v>
      </c>
      <c r="D6" s="5">
        <v>2.2499999999999999E-2</v>
      </c>
      <c r="E6" s="5">
        <v>2.2700000000000001E-2</v>
      </c>
      <c r="F6" s="5">
        <v>2.8400000000000002E-2</v>
      </c>
      <c r="G6" s="5">
        <v>2.3300000000000001E-2</v>
      </c>
      <c r="H6" s="5">
        <v>2.29E-2</v>
      </c>
      <c r="I6" s="5">
        <v>2.07E-2</v>
      </c>
      <c r="J6" s="5">
        <v>2.29E-2</v>
      </c>
      <c r="K6" s="5">
        <v>1.8100000000000002E-2</v>
      </c>
      <c r="L6" s="5">
        <v>1.46E-2</v>
      </c>
      <c r="S6" s="5">
        <f>AVERAGE(C6:M6)</f>
        <v>2.232E-2</v>
      </c>
      <c r="T6" s="10" t="e">
        <f>(100-(#REF!*100))/100</f>
        <v>#REF!</v>
      </c>
      <c r="U6" s="3" t="e">
        <f>S6/T6</f>
        <v>#REF!</v>
      </c>
    </row>
    <row r="7" spans="1:22" x14ac:dyDescent="0.25">
      <c r="A7" s="5"/>
      <c r="S7" s="5"/>
    </row>
    <row r="8" spans="1:22" x14ac:dyDescent="0.25">
      <c r="S8" s="5"/>
    </row>
    <row r="9" spans="1:22" x14ac:dyDescent="0.25">
      <c r="B9" t="s">
        <v>8</v>
      </c>
      <c r="C9" s="5">
        <v>1.84E-2</v>
      </c>
      <c r="D9" s="5">
        <v>1.3100000000000001E-2</v>
      </c>
      <c r="E9" s="5">
        <v>1.4800000000000001E-2</v>
      </c>
      <c r="F9" s="5">
        <v>1.9599999999999999E-2</v>
      </c>
      <c r="G9" s="5">
        <v>1.4E-2</v>
      </c>
      <c r="H9" s="5">
        <v>1.34E-2</v>
      </c>
      <c r="I9" s="5">
        <v>1.7500000000000002E-2</v>
      </c>
      <c r="J9" s="5">
        <v>1.84E-2</v>
      </c>
      <c r="K9" s="5">
        <v>1.26E-2</v>
      </c>
      <c r="S9" s="5">
        <f>AVERAGE(C9:M9)</f>
        <v>1.5755555555555554E-2</v>
      </c>
      <c r="T9" s="10">
        <f>1-0.18</f>
        <v>0.82000000000000006</v>
      </c>
      <c r="U9" s="3">
        <f t="shared" ref="U9" si="0">S9/T9</f>
        <v>1.9214092140921405E-2</v>
      </c>
    </row>
    <row r="11" spans="1:22" x14ac:dyDescent="0.25">
      <c r="B11" t="s">
        <v>10</v>
      </c>
      <c r="C11" s="5">
        <v>3.09E-2</v>
      </c>
      <c r="D11" s="5">
        <v>2.0899999999999998E-2</v>
      </c>
      <c r="E11" s="5">
        <v>2.75E-2</v>
      </c>
      <c r="F11" s="5">
        <v>2.6599999999999999E-2</v>
      </c>
      <c r="G11" s="5">
        <v>2.3E-2</v>
      </c>
      <c r="H11" s="5">
        <v>2.47E-2</v>
      </c>
      <c r="I11" s="5">
        <v>2.76E-2</v>
      </c>
      <c r="J11" s="5">
        <v>2.6800000000000001E-2</v>
      </c>
      <c r="K11" s="5">
        <v>2.1600000000000001E-2</v>
      </c>
      <c r="L11" s="5">
        <v>2.1600000000000001E-2</v>
      </c>
      <c r="M11" s="5">
        <v>2.0199999999999999E-2</v>
      </c>
      <c r="S11" s="5">
        <f>AVERAGE(C11:M11)</f>
        <v>2.467272727272727E-2</v>
      </c>
      <c r="T11">
        <f>(100-5.3)/100</f>
        <v>0.94700000000000006</v>
      </c>
      <c r="U11" s="3">
        <f>S11/T11</f>
        <v>2.6053566285878849E-2</v>
      </c>
    </row>
    <row r="13" spans="1:22" x14ac:dyDescent="0.25">
      <c r="B13" t="s">
        <v>44</v>
      </c>
      <c r="C13" s="5">
        <v>2.47E-2</v>
      </c>
      <c r="D13" s="5">
        <v>1.7999999999999999E-2</v>
      </c>
      <c r="E13" s="5">
        <v>2.1899999999999999E-2</v>
      </c>
      <c r="F13" s="5">
        <v>2.2599999999999999E-2</v>
      </c>
      <c r="G13" s="5">
        <v>1.9599999999999999E-2</v>
      </c>
      <c r="H13" s="5">
        <v>2.0400000000000001E-2</v>
      </c>
      <c r="I13" s="5">
        <v>2.5600000000000001E-2</v>
      </c>
      <c r="J13" s="5">
        <v>2.4899999999999999E-2</v>
      </c>
      <c r="K13" s="5">
        <v>1.9400000000000001E-2</v>
      </c>
      <c r="L13" s="5">
        <v>2.23E-2</v>
      </c>
      <c r="M13" s="5">
        <v>2.9000000000000001E-2</v>
      </c>
      <c r="N13" s="5">
        <v>1.38E-2</v>
      </c>
      <c r="O13" s="5">
        <v>1.8499999999999999E-2</v>
      </c>
      <c r="P13" s="5">
        <v>2.01E-2</v>
      </c>
      <c r="Q13" s="5">
        <v>1.83E-2</v>
      </c>
      <c r="S13" s="5">
        <f>AVERAGE(C13:Q13)</f>
        <v>2.1273333333333335E-2</v>
      </c>
      <c r="U13" s="5">
        <f>S13</f>
        <v>2.1273333333333335E-2</v>
      </c>
    </row>
    <row r="14" spans="1:22" x14ac:dyDescent="0.25">
      <c r="B14" t="s">
        <v>45</v>
      </c>
      <c r="C14" s="5">
        <v>3.8100000000000002E-2</v>
      </c>
      <c r="D14" s="5">
        <v>2.4500000000000001E-2</v>
      </c>
      <c r="E14" s="5">
        <v>3.6400000000000002E-2</v>
      </c>
      <c r="F14" s="5">
        <v>3.1E-2</v>
      </c>
      <c r="G14" s="5">
        <v>2.5000000000000001E-2</v>
      </c>
      <c r="H14" s="5">
        <v>2.9899999999999999E-2</v>
      </c>
      <c r="I14" s="5">
        <v>3.3500000000000002E-2</v>
      </c>
      <c r="J14" s="5">
        <v>3.5200000000000002E-2</v>
      </c>
      <c r="S14" s="5">
        <f>AVERAGE(C14:Q14)</f>
        <v>3.1699999999999999E-2</v>
      </c>
      <c r="T14">
        <f>(100-6)/100</f>
        <v>0.94</v>
      </c>
      <c r="U14" s="5">
        <f>S14/T14</f>
        <v>3.3723404255319153E-2</v>
      </c>
      <c r="V14" s="7"/>
    </row>
    <row r="15" spans="1:22" x14ac:dyDescent="0.25">
      <c r="U15" s="9"/>
      <c r="V15" s="7"/>
    </row>
    <row r="21" spans="20:21" x14ac:dyDescent="0.25">
      <c r="U21" s="5"/>
    </row>
    <row r="22" spans="20:21" x14ac:dyDescent="0.25">
      <c r="U22" s="5"/>
    </row>
    <row r="23" spans="20:21" x14ac:dyDescent="0.25">
      <c r="U23" s="5"/>
    </row>
    <row r="24" spans="20:21" x14ac:dyDescent="0.25">
      <c r="T24" s="5"/>
      <c r="U24" s="5"/>
    </row>
    <row r="25" spans="20:21" x14ac:dyDescent="0.25">
      <c r="T25" s="5"/>
      <c r="U25" s="5"/>
    </row>
    <row r="26" spans="20:21" x14ac:dyDescent="0.25">
      <c r="T26" s="5"/>
      <c r="U26" s="5"/>
    </row>
    <row r="27" spans="20:21" x14ac:dyDescent="0.25">
      <c r="T27" s="5"/>
      <c r="U27" s="5"/>
    </row>
    <row r="28" spans="20:21" x14ac:dyDescent="0.25">
      <c r="T28" s="5"/>
      <c r="U28" s="5"/>
    </row>
    <row r="29" spans="20:21" x14ac:dyDescent="0.25">
      <c r="T29" s="5"/>
    </row>
    <row r="30" spans="20:21" x14ac:dyDescent="0.25">
      <c r="T30" s="5"/>
    </row>
    <row r="31" spans="20:21" x14ac:dyDescent="0.25">
      <c r="T31" s="5"/>
    </row>
    <row r="32" spans="20:21" x14ac:dyDescent="0.25">
      <c r="T32" s="5"/>
    </row>
    <row r="33" spans="20:20" x14ac:dyDescent="0.25">
      <c r="T33" s="5"/>
    </row>
    <row r="34" spans="20:20" x14ac:dyDescent="0.25">
      <c r="T34" s="5"/>
    </row>
    <row r="35" spans="20:20" x14ac:dyDescent="0.25">
      <c r="T35" s="5"/>
    </row>
    <row r="36" spans="20:20" x14ac:dyDescent="0.25">
      <c r="T36" s="5"/>
    </row>
    <row r="37" spans="20:20" x14ac:dyDescent="0.25">
      <c r="T37" s="5"/>
    </row>
    <row r="38" spans="20:20" x14ac:dyDescent="0.25">
      <c r="T38" s="5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MarketCap</vt:lpstr>
      <vt:lpstr>VWRL</vt:lpstr>
      <vt:lpstr>TD</vt:lpstr>
      <vt:lpstr>DividendLekkage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2020-10-02T12:15:02Z</dcterms:modified>
</cp:coreProperties>
</file>