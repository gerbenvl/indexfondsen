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Aandelen\KeuzeWelkIndexFonds\PerFonds\Vanguard EU\"/>
    </mc:Choice>
  </mc:AlternateContent>
  <xr:revisionPtr revIDLastSave="0" documentId="13_ncr:1_{13F1307E-7216-4DBE-8C5E-8DF79F0D9066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Aannames" sheetId="4" r:id="rId1"/>
    <sheet name="MarketCap" sheetId="7" r:id="rId2"/>
    <sheet name="DividendLek" sheetId="8" r:id="rId3"/>
    <sheet name="Dividend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7" l="1"/>
  <c r="G33" i="7"/>
  <c r="G35" i="7" s="1"/>
  <c r="G30" i="7"/>
  <c r="G25" i="7"/>
  <c r="G26" i="7"/>
  <c r="G21" i="7"/>
  <c r="G22" i="7" s="1"/>
  <c r="G29" i="7"/>
  <c r="I5" i="8"/>
  <c r="G31" i="7" l="1"/>
  <c r="C12" i="7"/>
  <c r="L3" i="7" s="1"/>
  <c r="N6" i="10"/>
  <c r="N9" i="10"/>
  <c r="N4" i="10"/>
  <c r="G20" i="7"/>
  <c r="I23" i="8"/>
  <c r="I11" i="8"/>
  <c r="D23" i="8"/>
  <c r="E23" i="8"/>
  <c r="F23" i="8"/>
  <c r="G23" i="8"/>
  <c r="H23" i="8"/>
  <c r="C23" i="8"/>
  <c r="D17" i="8"/>
  <c r="E17" i="8"/>
  <c r="F17" i="8"/>
  <c r="I17" i="8" s="1"/>
  <c r="G17" i="8"/>
  <c r="H17" i="8"/>
  <c r="C17" i="8"/>
  <c r="D11" i="8"/>
  <c r="E11" i="8"/>
  <c r="F11" i="8"/>
  <c r="G11" i="8"/>
  <c r="H11" i="8"/>
  <c r="C11" i="8"/>
  <c r="D5" i="8"/>
  <c r="E5" i="8"/>
  <c r="F5" i="8"/>
  <c r="G5" i="8"/>
  <c r="H5" i="8"/>
  <c r="C5" i="8"/>
  <c r="G18" i="7"/>
  <c r="G17" i="7"/>
  <c r="L4" i="7" l="1"/>
  <c r="M4" i="7" s="1"/>
  <c r="M3" i="7"/>
  <c r="D6" i="7"/>
  <c r="D7" i="7"/>
  <c r="D8" i="7"/>
  <c r="D5" i="7"/>
  <c r="M5" i="7" l="1"/>
  <c r="C11" i="7"/>
  <c r="G4" i="7" s="1"/>
  <c r="H4" i="7" l="1"/>
  <c r="I4" i="7"/>
  <c r="G5" i="7"/>
  <c r="G3" i="7"/>
  <c r="C9" i="7"/>
  <c r="H5" i="7" l="1"/>
  <c r="I5" i="7"/>
  <c r="H3" i="7"/>
  <c r="I3" i="7"/>
  <c r="I6" i="7" l="1"/>
  <c r="H6" i="7"/>
  <c r="G24" i="7" s="1"/>
</calcChain>
</file>

<file path=xl/sharedStrings.xml><?xml version="1.0" encoding="utf-8"?>
<sst xmlns="http://schemas.openxmlformats.org/spreadsheetml/2006/main" count="58" uniqueCount="37">
  <si>
    <t>Aannames</t>
  </si>
  <si>
    <t>MSCI ACWI IMI</t>
  </si>
  <si>
    <t>MSCI World</t>
  </si>
  <si>
    <t>MSCI World SC</t>
  </si>
  <si>
    <t>MSCI Emerging</t>
  </si>
  <si>
    <t>EM small caps</t>
  </si>
  <si>
    <t>cross check</t>
  </si>
  <si>
    <t>Kosten</t>
  </si>
  <si>
    <t>World</t>
  </si>
  <si>
    <t>Small</t>
  </si>
  <si>
    <t>EM</t>
  </si>
  <si>
    <t>MSCI ACWI IMI - EM Small</t>
  </si>
  <si>
    <t>Kosten uit https://global.vanguard.com/portal/site/loadPDF?country=global&amp;docId=15835</t>
  </si>
  <si>
    <t>Vanguard Emerging Markets Stock Index Fund Institutional Plus EUR Acc</t>
  </si>
  <si>
    <t>Vanguard Global Small-Cap Index Fund Institutional Plus EUR Acc</t>
  </si>
  <si>
    <t>Vanguard Global Stock Index Fund Institutional Plus EUR Acc</t>
  </si>
  <si>
    <t>Dividend lek</t>
  </si>
  <si>
    <t>Totaal</t>
  </si>
  <si>
    <t>Dividend income</t>
  </si>
  <si>
    <t>Foreign Withholding Tax</t>
  </si>
  <si>
    <t>gemiddeld</t>
  </si>
  <si>
    <t>VWRL</t>
  </si>
  <si>
    <t>Dividends</t>
  </si>
  <si>
    <t>Global Small-Cap Index Fund</t>
  </si>
  <si>
    <t>Emerging Markets Stock Index Fund</t>
  </si>
  <si>
    <t>Global Stock Index Fund</t>
  </si>
  <si>
    <t>Vanguard FTSE All-World</t>
  </si>
  <si>
    <t>Lek</t>
  </si>
  <si>
    <t>Dividend lek bij 2,5%</t>
  </si>
  <si>
    <t>Emerging</t>
  </si>
  <si>
    <t>Emerging (GBP)</t>
  </si>
  <si>
    <t>Small cap (GBP)</t>
  </si>
  <si>
    <t>Gemiddeld dividend na lek</t>
  </si>
  <si>
    <t>Fondsen</t>
  </si>
  <si>
    <t>lek</t>
  </si>
  <si>
    <t>World + Emerging</t>
  </si>
  <si>
    <t>Dividend lek bij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</si>
</sst>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%"/>
    <numFmt numFmtId="165" formatCode="0.0%"/>
    <numFmt numFmtId="166" formatCode="_ * #,##0_ ;_ * \-#,##0_ ;_ * &quot;-&quot;??_ ;_ @_ "/>
    <numFmt numFmtId="167" formatCode="0.000000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0" borderId="0" xfId="0" applyFont="1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165" fontId="0" fillId="0" borderId="0" xfId="1" applyNumberFormat="1" applyFont="1"/>
    <xf numFmtId="0" fontId="3" fillId="0" borderId="0" xfId="0" applyFont="1" applyAlignment="1"/>
    <xf numFmtId="0" fontId="0" fillId="0" borderId="1" xfId="0" applyBorder="1"/>
    <xf numFmtId="43" fontId="0" fillId="0" borderId="0" xfId="2" applyFont="1"/>
    <xf numFmtId="43" fontId="0" fillId="0" borderId="1" xfId="2" applyFont="1" applyBorder="1"/>
    <xf numFmtId="43" fontId="0" fillId="0" borderId="0" xfId="0" applyNumberFormat="1"/>
    <xf numFmtId="9" fontId="0" fillId="0" borderId="0" xfId="1" applyFont="1"/>
    <xf numFmtId="10" fontId="0" fillId="0" borderId="1" xfId="0" applyNumberFormat="1" applyBorder="1"/>
    <xf numFmtId="0" fontId="0" fillId="0" borderId="0" xfId="0" applyFill="1" applyBorder="1"/>
    <xf numFmtId="0" fontId="4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/>
    <xf numFmtId="167" fontId="0" fillId="0" borderId="0" xfId="1" applyNumberFormat="1" applyFont="1"/>
    <xf numFmtId="10" fontId="0" fillId="0" borderId="0" xfId="0" applyNumberFormat="1" applyAlignment="1">
      <alignment horizontal="right"/>
    </xf>
    <xf numFmtId="0" fontId="3" fillId="0" borderId="0" xfId="0" applyFont="1" applyAlignment="1">
      <alignment horizontal="left" vertical="top" wrapText="1"/>
    </xf>
  </cellXfs>
  <cellStyles count="3">
    <cellStyle name="Komma" xfId="2" builtinId="3"/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CACD-21DA-4904-B85E-A64A90D22818}">
  <dimension ref="B2:B30"/>
  <sheetViews>
    <sheetView workbookViewId="0">
      <selection activeCell="B3" sqref="B3:B30"/>
    </sheetView>
  </sheetViews>
  <sheetFormatPr defaultRowHeight="15" x14ac:dyDescent="0.25"/>
  <cols>
    <col min="2" max="2" width="114.28515625" customWidth="1"/>
  </cols>
  <sheetData>
    <row r="2" spans="2:2" x14ac:dyDescent="0.25">
      <c r="B2" s="1" t="s">
        <v>0</v>
      </c>
    </row>
    <row r="3" spans="2:2" x14ac:dyDescent="0.25">
      <c r="B3" s="6"/>
    </row>
    <row r="4" spans="2:2" x14ac:dyDescent="0.25">
      <c r="B4" s="6"/>
    </row>
    <row r="5" spans="2:2" x14ac:dyDescent="0.25">
      <c r="B5" s="6"/>
    </row>
    <row r="6" spans="2:2" x14ac:dyDescent="0.25">
      <c r="B6" s="9"/>
    </row>
    <row r="7" spans="2:2" x14ac:dyDescent="0.25">
      <c r="B7" s="9"/>
    </row>
    <row r="8" spans="2:2" x14ac:dyDescent="0.25">
      <c r="B8" s="6"/>
    </row>
    <row r="9" spans="2:2" x14ac:dyDescent="0.25">
      <c r="B9" s="28"/>
    </row>
    <row r="10" spans="2:2" x14ac:dyDescent="0.25">
      <c r="B10" s="28"/>
    </row>
    <row r="11" spans="2:2" x14ac:dyDescent="0.25">
      <c r="B11" s="28"/>
    </row>
    <row r="12" spans="2:2" x14ac:dyDescent="0.25">
      <c r="B12" s="7"/>
    </row>
    <row r="13" spans="2:2" x14ac:dyDescent="0.25">
      <c r="B13" s="2"/>
    </row>
    <row r="14" spans="2:2" x14ac:dyDescent="0.25">
      <c r="B14" s="2"/>
    </row>
    <row r="15" spans="2:2" x14ac:dyDescent="0.25">
      <c r="B15" s="2"/>
    </row>
    <row r="16" spans="2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</sheetData>
  <mergeCells count="1">
    <mergeCell ref="B9:B1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687D-2650-40D8-BB0F-4784280BA24F}">
  <dimension ref="B2:M35"/>
  <sheetViews>
    <sheetView tabSelected="1" workbookViewId="0">
      <selection activeCell="G35" sqref="G35"/>
    </sheetView>
  </sheetViews>
  <sheetFormatPr defaultRowHeight="15" x14ac:dyDescent="0.25"/>
  <cols>
    <col min="2" max="2" width="25.5703125" customWidth="1"/>
    <col min="3" max="3" width="14" customWidth="1"/>
    <col min="5" max="5" width="11.7109375" customWidth="1"/>
    <col min="6" max="6" width="16.140625" customWidth="1"/>
    <col min="7" max="7" width="15.42578125" customWidth="1"/>
    <col min="8" max="8" width="13.7109375" bestFit="1" customWidth="1"/>
    <col min="11" max="11" width="11" customWidth="1"/>
    <col min="13" max="13" width="16.28515625" bestFit="1" customWidth="1"/>
  </cols>
  <sheetData>
    <row r="2" spans="2:13" x14ac:dyDescent="0.25">
      <c r="B2" t="s">
        <v>1</v>
      </c>
      <c r="C2" s="11">
        <v>53732257.130000003</v>
      </c>
      <c r="F2" s="1" t="s">
        <v>7</v>
      </c>
      <c r="I2" t="s">
        <v>34</v>
      </c>
    </row>
    <row r="3" spans="2:13" x14ac:dyDescent="0.25">
      <c r="C3" s="11"/>
      <c r="F3" t="s">
        <v>8</v>
      </c>
      <c r="G3" s="5">
        <f>C5/C11</f>
        <v>0.78772395372097181</v>
      </c>
      <c r="H3" s="4">
        <f>$G$16*G3</f>
        <v>9.4526874446516614E-4</v>
      </c>
      <c r="I3" s="8">
        <f>G3*DividendLek!I11</f>
        <v>0.14400184660578755</v>
      </c>
      <c r="K3" t="s">
        <v>8</v>
      </c>
      <c r="L3" s="14">
        <f>C5/C12</f>
        <v>0.87840423476014873</v>
      </c>
      <c r="M3" s="8">
        <f>L3*DividendLek!I11</f>
        <v>0.16057888207448262</v>
      </c>
    </row>
    <row r="4" spans="2:13" x14ac:dyDescent="0.25">
      <c r="C4" s="11"/>
      <c r="F4" t="s">
        <v>9</v>
      </c>
      <c r="G4" s="5">
        <f>C6/C11</f>
        <v>0.1032329736313204</v>
      </c>
      <c r="H4" s="4">
        <f>$G$17*G4</f>
        <v>3.2002221825709322E-4</v>
      </c>
      <c r="I4" s="8">
        <f>G4*DividendLek!I17</f>
        <v>1.9233078185006393E-2</v>
      </c>
      <c r="K4" t="s">
        <v>29</v>
      </c>
      <c r="L4" s="14">
        <f>C7/C12</f>
        <v>0.12159576523985123</v>
      </c>
      <c r="M4" s="8">
        <f>L4*DividendLek!I23</f>
        <v>1.281750922618752E-2</v>
      </c>
    </row>
    <row r="5" spans="2:13" ht="15.75" thickBot="1" x14ac:dyDescent="0.3">
      <c r="B5" t="s">
        <v>2</v>
      </c>
      <c r="C5" s="11">
        <v>41819772.990000002</v>
      </c>
      <c r="D5" s="14">
        <f>C5/$C$2</f>
        <v>0.7782992046811118</v>
      </c>
      <c r="F5" t="s">
        <v>10</v>
      </c>
      <c r="G5" s="5">
        <f>C7/C11</f>
        <v>0.10904307283606943</v>
      </c>
      <c r="H5" s="4">
        <f>$G$18*G5</f>
        <v>2.0718183838853193E-4</v>
      </c>
      <c r="I5" s="8">
        <f>G5*DividendLek!I23</f>
        <v>1.1494319636635626E-2</v>
      </c>
      <c r="L5" s="25"/>
      <c r="M5" s="19">
        <f>SUM(M3:M4)</f>
        <v>0.17339639130067014</v>
      </c>
    </row>
    <row r="6" spans="2:13" ht="15.75" thickTop="1" x14ac:dyDescent="0.25">
      <c r="B6" t="s">
        <v>3</v>
      </c>
      <c r="C6" s="11">
        <v>5480574.1299999999</v>
      </c>
      <c r="D6" s="14">
        <f t="shared" ref="D6:D8" si="0">C6/$C$2</f>
        <v>0.10199783933774233</v>
      </c>
      <c r="H6" s="15">
        <f>SUM(H3:H5)</f>
        <v>1.4724728011107913E-3</v>
      </c>
      <c r="I6" s="8">
        <f>SUM(I3:I5)</f>
        <v>0.17472924442742957</v>
      </c>
    </row>
    <row r="7" spans="2:13" x14ac:dyDescent="0.25">
      <c r="B7" t="s">
        <v>4</v>
      </c>
      <c r="C7" s="11">
        <v>5789028.6699999999</v>
      </c>
      <c r="D7" s="14">
        <f t="shared" si="0"/>
        <v>0.10773842342029304</v>
      </c>
      <c r="G7" s="5"/>
      <c r="H7" s="13"/>
      <c r="I7" s="14"/>
      <c r="M7" s="26"/>
    </row>
    <row r="8" spans="2:13" ht="15.75" thickBot="1" x14ac:dyDescent="0.3">
      <c r="B8" t="s">
        <v>5</v>
      </c>
      <c r="C8" s="11">
        <v>642881.34999999963</v>
      </c>
      <c r="D8" s="14">
        <f t="shared" si="0"/>
        <v>1.1964532746960738E-2</v>
      </c>
      <c r="F8" t="s">
        <v>16</v>
      </c>
      <c r="H8" s="5"/>
    </row>
    <row r="9" spans="2:13" ht="15.75" thickTop="1" x14ac:dyDescent="0.25">
      <c r="B9" s="10" t="s">
        <v>6</v>
      </c>
      <c r="C9" s="12">
        <f>SUM(C5:C8)</f>
        <v>53732257.140000008</v>
      </c>
      <c r="F9" t="s">
        <v>17</v>
      </c>
      <c r="H9" s="3"/>
    </row>
    <row r="10" spans="2:13" x14ac:dyDescent="0.25">
      <c r="B10" s="16"/>
    </row>
    <row r="11" spans="2:13" x14ac:dyDescent="0.25">
      <c r="B11" t="s">
        <v>11</v>
      </c>
      <c r="C11" s="13">
        <f>C2-C8</f>
        <v>53089375.780000001</v>
      </c>
      <c r="D11" s="3"/>
    </row>
    <row r="12" spans="2:13" x14ac:dyDescent="0.25">
      <c r="B12" t="s">
        <v>35</v>
      </c>
      <c r="C12" s="13">
        <f>C5+C7</f>
        <v>47608801.660000004</v>
      </c>
      <c r="G12" s="5"/>
      <c r="H12" s="13"/>
    </row>
    <row r="13" spans="2:13" x14ac:dyDescent="0.25">
      <c r="G13" s="5"/>
      <c r="H13" s="13"/>
    </row>
    <row r="14" spans="2:13" x14ac:dyDescent="0.25">
      <c r="B14" t="s">
        <v>12</v>
      </c>
    </row>
    <row r="16" spans="2:13" x14ac:dyDescent="0.25">
      <c r="B16" t="s">
        <v>15</v>
      </c>
      <c r="G16" s="5">
        <v>1.1999999999999999E-3</v>
      </c>
      <c r="H16" s="8"/>
    </row>
    <row r="17" spans="2:7" x14ac:dyDescent="0.25">
      <c r="B17" t="s">
        <v>14</v>
      </c>
      <c r="G17" s="3">
        <f>0.24%+0.02%+0.05%</f>
        <v>3.0999999999999999E-3</v>
      </c>
    </row>
    <row r="18" spans="2:7" x14ac:dyDescent="0.25">
      <c r="B18" t="s">
        <v>13</v>
      </c>
      <c r="G18" s="5">
        <f>0.16%+0.01%+0.02%</f>
        <v>1.9000000000000002E-3</v>
      </c>
    </row>
    <row r="20" spans="2:7" x14ac:dyDescent="0.25">
      <c r="B20" s="1" t="s">
        <v>26</v>
      </c>
      <c r="G20" s="3">
        <f>0.22%+0.02%</f>
        <v>2.4000000000000002E-3</v>
      </c>
    </row>
    <row r="21" spans="2:7" x14ac:dyDescent="0.25">
      <c r="B21" s="2" t="s">
        <v>28</v>
      </c>
      <c r="D21" s="18"/>
      <c r="G21" s="3">
        <f>DividendLek!I5*2.5%</f>
        <v>2.8556186964247415E-3</v>
      </c>
    </row>
    <row r="22" spans="2:7" x14ac:dyDescent="0.25">
      <c r="B22" s="2" t="s">
        <v>17</v>
      </c>
      <c r="D22" s="18"/>
      <c r="E22" s="18"/>
      <c r="G22" s="5">
        <f>SUM(G20:G21)</f>
        <v>5.2556186964247418E-3</v>
      </c>
    </row>
    <row r="23" spans="2:7" ht="15.75" x14ac:dyDescent="0.25">
      <c r="B23" s="17"/>
      <c r="C23" s="17"/>
      <c r="D23" s="18"/>
    </row>
    <row r="24" spans="2:7" x14ac:dyDescent="0.25">
      <c r="B24" s="1" t="s">
        <v>33</v>
      </c>
      <c r="G24" s="5">
        <f>H6</f>
        <v>1.4724728011107913E-3</v>
      </c>
    </row>
    <row r="25" spans="2:7" x14ac:dyDescent="0.25">
      <c r="B25" s="2" t="s">
        <v>28</v>
      </c>
      <c r="G25" s="3">
        <f>M5*2.5%</f>
        <v>4.3349097825167533E-3</v>
      </c>
    </row>
    <row r="26" spans="2:7" x14ac:dyDescent="0.25">
      <c r="B26" s="2" t="s">
        <v>17</v>
      </c>
      <c r="G26" s="5">
        <f>SUM(G24:G25)</f>
        <v>5.8073825836275446E-3</v>
      </c>
    </row>
    <row r="29" spans="2:7" x14ac:dyDescent="0.25">
      <c r="B29" s="1" t="s">
        <v>26</v>
      </c>
      <c r="G29" s="3">
        <f>0.22%+0.02%</f>
        <v>2.4000000000000002E-3</v>
      </c>
    </row>
    <row r="30" spans="2:7" x14ac:dyDescent="0.25">
      <c r="B30" s="2" t="s">
        <v>36</v>
      </c>
      <c r="D30" s="18"/>
      <c r="G30" s="3">
        <f>DividendLek!I5*2%</f>
        <v>2.2844949571397934E-3</v>
      </c>
    </row>
    <row r="31" spans="2:7" x14ac:dyDescent="0.25">
      <c r="B31" s="2" t="s">
        <v>17</v>
      </c>
      <c r="D31" s="18"/>
      <c r="E31" s="18"/>
      <c r="G31" s="5">
        <f>SUM(G29:G30)</f>
        <v>4.6844949571397936E-3</v>
      </c>
    </row>
    <row r="32" spans="2:7" ht="15.75" x14ac:dyDescent="0.25">
      <c r="B32" s="17"/>
      <c r="C32" s="17"/>
      <c r="D32" s="18"/>
    </row>
    <row r="33" spans="2:7" x14ac:dyDescent="0.25">
      <c r="B33" s="1" t="s">
        <v>33</v>
      </c>
      <c r="G33" s="5">
        <f>H6</f>
        <v>1.4724728011107913E-3</v>
      </c>
    </row>
    <row r="34" spans="2:7" x14ac:dyDescent="0.25">
      <c r="B34" s="2" t="s">
        <v>36</v>
      </c>
      <c r="G34" s="3">
        <f>M5*2%</f>
        <v>3.4679278260134026E-3</v>
      </c>
    </row>
    <row r="35" spans="2:7" x14ac:dyDescent="0.25">
      <c r="B35" s="2" t="s">
        <v>17</v>
      </c>
      <c r="G35" s="5">
        <f>SUM(G33:G34)</f>
        <v>4.9404006271241939E-3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CECF-BF14-4845-8173-0C61AC18ABD7}">
  <dimension ref="B2:I23"/>
  <sheetViews>
    <sheetView workbookViewId="0">
      <selection activeCell="I23" sqref="I23"/>
    </sheetView>
  </sheetViews>
  <sheetFormatPr defaultRowHeight="15" x14ac:dyDescent="0.25"/>
  <cols>
    <col min="2" max="2" width="33.28515625" customWidth="1"/>
    <col min="3" max="3" width="12.5703125" customWidth="1"/>
    <col min="4" max="4" width="12.28515625" customWidth="1"/>
    <col min="5" max="8" width="15.140625" bestFit="1" customWidth="1"/>
    <col min="9" max="9" width="14.42578125" customWidth="1"/>
    <col min="10" max="10" width="11" customWidth="1"/>
    <col min="11" max="11" width="14" customWidth="1"/>
  </cols>
  <sheetData>
    <row r="2" spans="2:9" x14ac:dyDescent="0.25">
      <c r="B2" s="21" t="s">
        <v>26</v>
      </c>
      <c r="C2" s="21">
        <v>2014</v>
      </c>
      <c r="D2" s="21">
        <v>2015</v>
      </c>
      <c r="E2" s="21">
        <v>2016</v>
      </c>
      <c r="F2" s="21">
        <v>2017</v>
      </c>
      <c r="G2" s="21">
        <v>2018</v>
      </c>
      <c r="H2" s="21">
        <v>2019</v>
      </c>
      <c r="I2" s="22" t="s">
        <v>20</v>
      </c>
    </row>
    <row r="3" spans="2:9" x14ac:dyDescent="0.25">
      <c r="B3" s="2" t="s">
        <v>18</v>
      </c>
      <c r="C3" s="20">
        <v>7496554</v>
      </c>
      <c r="D3" s="20">
        <v>17837465</v>
      </c>
      <c r="E3" s="20">
        <v>25181502</v>
      </c>
      <c r="F3" s="20">
        <v>28329734</v>
      </c>
      <c r="G3" s="20">
        <v>43044701</v>
      </c>
      <c r="H3" s="20">
        <v>64119281</v>
      </c>
      <c r="I3" s="23"/>
    </row>
    <row r="4" spans="2:9" x14ac:dyDescent="0.25">
      <c r="B4" s="2" t="s">
        <v>19</v>
      </c>
      <c r="C4" s="20">
        <v>734078</v>
      </c>
      <c r="D4" s="20">
        <v>1970630</v>
      </c>
      <c r="E4" s="20">
        <v>3037267</v>
      </c>
      <c r="F4" s="20">
        <v>3337917</v>
      </c>
      <c r="G4" s="20">
        <v>5268891</v>
      </c>
      <c r="H4" s="20">
        <v>7444601</v>
      </c>
      <c r="I4" s="23"/>
    </row>
    <row r="5" spans="2:9" x14ac:dyDescent="0.25">
      <c r="B5" s="2" t="s">
        <v>27</v>
      </c>
      <c r="C5" s="8">
        <f>C4/C3</f>
        <v>9.7922058588519476E-2</v>
      </c>
      <c r="D5" s="8">
        <f t="shared" ref="D5:H5" si="0">D4/D3</f>
        <v>0.11047702125834585</v>
      </c>
      <c r="E5" s="8">
        <f t="shared" si="0"/>
        <v>0.12061500541151199</v>
      </c>
      <c r="F5" s="8">
        <f t="shared" si="0"/>
        <v>0.11782380307559541</v>
      </c>
      <c r="G5" s="8">
        <f t="shared" si="0"/>
        <v>0.12240510161750223</v>
      </c>
      <c r="H5" s="8">
        <f t="shared" si="0"/>
        <v>0.11610549719046288</v>
      </c>
      <c r="I5" s="27">
        <f>AVERAGE(C5:H5)</f>
        <v>0.11422474785698966</v>
      </c>
    </row>
    <row r="6" spans="2:9" x14ac:dyDescent="0.25">
      <c r="I6" s="23"/>
    </row>
    <row r="7" spans="2:9" x14ac:dyDescent="0.25">
      <c r="I7" s="23"/>
    </row>
    <row r="8" spans="2:9" x14ac:dyDescent="0.25">
      <c r="B8" s="21" t="s">
        <v>25</v>
      </c>
      <c r="C8" s="21">
        <v>2014</v>
      </c>
      <c r="D8" s="21">
        <v>2015</v>
      </c>
      <c r="E8" s="21">
        <v>2016</v>
      </c>
      <c r="F8" s="21">
        <v>2017</v>
      </c>
      <c r="G8" s="21">
        <v>2018</v>
      </c>
      <c r="H8" s="21">
        <v>2019</v>
      </c>
      <c r="I8" s="22" t="s">
        <v>20</v>
      </c>
    </row>
    <row r="9" spans="2:9" x14ac:dyDescent="0.25">
      <c r="B9" t="s">
        <v>22</v>
      </c>
      <c r="C9" s="20">
        <v>231880154</v>
      </c>
      <c r="D9" s="20">
        <v>226198931</v>
      </c>
      <c r="E9" s="20">
        <v>223222039</v>
      </c>
      <c r="F9" s="20">
        <v>245815818</v>
      </c>
      <c r="G9" s="20">
        <v>274768506</v>
      </c>
      <c r="H9" s="20">
        <v>281441122</v>
      </c>
      <c r="I9" s="23"/>
    </row>
    <row r="10" spans="2:9" x14ac:dyDescent="0.25">
      <c r="B10" t="s">
        <v>19</v>
      </c>
      <c r="C10" s="20">
        <v>39535737</v>
      </c>
      <c r="D10" s="20">
        <v>44341565</v>
      </c>
      <c r="E10" s="20">
        <v>41371984</v>
      </c>
      <c r="F10" s="20">
        <v>44756666</v>
      </c>
      <c r="G10" s="20">
        <v>49706758</v>
      </c>
      <c r="H10" s="20">
        <v>51221448</v>
      </c>
      <c r="I10" s="23"/>
    </row>
    <row r="11" spans="2:9" x14ac:dyDescent="0.25">
      <c r="B11" s="2" t="s">
        <v>27</v>
      </c>
      <c r="C11" s="8">
        <f>C10/C9</f>
        <v>0.17050073634158444</v>
      </c>
      <c r="D11" s="8">
        <f t="shared" ref="D11:H11" si="1">D10/D9</f>
        <v>0.19602906523019775</v>
      </c>
      <c r="E11" s="8">
        <f t="shared" si="1"/>
        <v>0.18534005058523814</v>
      </c>
      <c r="F11" s="8">
        <f t="shared" si="1"/>
        <v>0.18207398679282713</v>
      </c>
      <c r="G11" s="8">
        <f t="shared" si="1"/>
        <v>0.18090413171297004</v>
      </c>
      <c r="H11" s="8">
        <f t="shared" si="1"/>
        <v>0.18199702884925253</v>
      </c>
      <c r="I11" s="24">
        <f>AVERAGE(C11:H11)</f>
        <v>0.18280749991867837</v>
      </c>
    </row>
    <row r="12" spans="2:9" x14ac:dyDescent="0.25">
      <c r="I12" s="23"/>
    </row>
    <row r="13" spans="2:9" x14ac:dyDescent="0.25">
      <c r="I13" s="23"/>
    </row>
    <row r="14" spans="2:9" x14ac:dyDescent="0.25">
      <c r="B14" s="21" t="s">
        <v>23</v>
      </c>
      <c r="C14" s="21">
        <v>2014</v>
      </c>
      <c r="D14" s="21">
        <v>2015</v>
      </c>
      <c r="E14" s="21">
        <v>2016</v>
      </c>
      <c r="F14" s="21">
        <v>2017</v>
      </c>
      <c r="G14" s="21">
        <v>2018</v>
      </c>
      <c r="H14" s="21">
        <v>2019</v>
      </c>
      <c r="I14" s="22" t="s">
        <v>20</v>
      </c>
    </row>
    <row r="15" spans="2:9" x14ac:dyDescent="0.25">
      <c r="B15" t="s">
        <v>22</v>
      </c>
      <c r="C15" s="20">
        <v>13944987</v>
      </c>
      <c r="D15" s="20">
        <v>15761605</v>
      </c>
      <c r="E15" s="20">
        <v>16231153</v>
      </c>
      <c r="F15" s="20">
        <v>23583250</v>
      </c>
      <c r="G15" s="20">
        <v>32845105</v>
      </c>
      <c r="H15" s="20">
        <v>44903246</v>
      </c>
      <c r="I15" s="23"/>
    </row>
    <row r="16" spans="2:9" x14ac:dyDescent="0.25">
      <c r="B16" t="s">
        <v>19</v>
      </c>
      <c r="C16" s="20">
        <v>2565136</v>
      </c>
      <c r="D16" s="20">
        <v>2868270</v>
      </c>
      <c r="E16" s="20">
        <v>3422226</v>
      </c>
      <c r="F16" s="20">
        <v>4191552</v>
      </c>
      <c r="G16" s="20">
        <v>5957479</v>
      </c>
      <c r="H16" s="20">
        <v>8170665</v>
      </c>
      <c r="I16" s="23"/>
    </row>
    <row r="17" spans="2:9" x14ac:dyDescent="0.25">
      <c r="B17" s="2" t="s">
        <v>27</v>
      </c>
      <c r="C17" s="8">
        <f>C16/C15</f>
        <v>0.18394681902536014</v>
      </c>
      <c r="D17" s="8">
        <f t="shared" ref="D17:H17" si="2">D16/D15</f>
        <v>0.18197829472315796</v>
      </c>
      <c r="E17" s="8">
        <f t="shared" si="2"/>
        <v>0.21084306210409082</v>
      </c>
      <c r="F17" s="8">
        <f t="shared" si="2"/>
        <v>0.1777342817465786</v>
      </c>
      <c r="G17" s="8">
        <f t="shared" si="2"/>
        <v>0.18138103075024423</v>
      </c>
      <c r="H17" s="8">
        <f t="shared" si="2"/>
        <v>0.18196156687647927</v>
      </c>
      <c r="I17" s="24">
        <f>AVERAGE(C17:H17)</f>
        <v>0.18630750920431849</v>
      </c>
    </row>
    <row r="18" spans="2:9" x14ac:dyDescent="0.25">
      <c r="B18" s="2"/>
      <c r="C18" s="20"/>
      <c r="D18" s="20"/>
      <c r="E18" s="20"/>
      <c r="F18" s="20"/>
      <c r="G18" s="20"/>
      <c r="H18" s="20"/>
      <c r="I18" s="23"/>
    </row>
    <row r="19" spans="2:9" x14ac:dyDescent="0.25">
      <c r="I19" s="23"/>
    </row>
    <row r="20" spans="2:9" x14ac:dyDescent="0.25">
      <c r="B20" s="21" t="s">
        <v>24</v>
      </c>
      <c r="C20" s="21">
        <v>2014</v>
      </c>
      <c r="D20" s="21">
        <v>2015</v>
      </c>
      <c r="E20" s="21">
        <v>2016</v>
      </c>
      <c r="F20" s="21">
        <v>2017</v>
      </c>
      <c r="G20" s="21">
        <v>2018</v>
      </c>
      <c r="H20" s="21">
        <v>2019</v>
      </c>
      <c r="I20" s="22" t="s">
        <v>20</v>
      </c>
    </row>
    <row r="21" spans="2:9" x14ac:dyDescent="0.25">
      <c r="B21" t="s">
        <v>22</v>
      </c>
      <c r="C21" s="20">
        <v>201401546</v>
      </c>
      <c r="D21" s="20">
        <v>184653314</v>
      </c>
      <c r="E21" s="20">
        <v>191368175</v>
      </c>
      <c r="F21" s="20">
        <v>244455039</v>
      </c>
      <c r="G21" s="20">
        <v>282044286</v>
      </c>
      <c r="H21" s="20">
        <v>279075341</v>
      </c>
      <c r="I21" s="23"/>
    </row>
    <row r="22" spans="2:9" x14ac:dyDescent="0.25">
      <c r="B22" t="s">
        <v>19</v>
      </c>
      <c r="C22" s="20">
        <v>15487001</v>
      </c>
      <c r="D22" s="20">
        <v>18051966</v>
      </c>
      <c r="E22" s="20">
        <v>21509558</v>
      </c>
      <c r="F22" s="20">
        <v>27381329</v>
      </c>
      <c r="G22" s="20">
        <v>33421807</v>
      </c>
      <c r="H22" s="20">
        <v>32065881</v>
      </c>
      <c r="I22" s="23"/>
    </row>
    <row r="23" spans="2:9" x14ac:dyDescent="0.25">
      <c r="B23" s="2" t="s">
        <v>27</v>
      </c>
      <c r="C23" s="8">
        <f>C22/C21</f>
        <v>7.6896137629449968E-2</v>
      </c>
      <c r="D23" s="8">
        <f t="shared" ref="D23:H23" si="3">D22/D21</f>
        <v>9.7761397339448775E-2</v>
      </c>
      <c r="E23" s="8">
        <f t="shared" si="3"/>
        <v>0.11239882493523283</v>
      </c>
      <c r="F23" s="8">
        <f t="shared" si="3"/>
        <v>0.11200967307530119</v>
      </c>
      <c r="G23" s="8">
        <f t="shared" si="3"/>
        <v>0.11849843680222616</v>
      </c>
      <c r="H23" s="8">
        <f t="shared" si="3"/>
        <v>0.11490044546787816</v>
      </c>
      <c r="I23" s="24">
        <f>AVERAGE(C23:H23)</f>
        <v>0.10541081920825618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8E11-B03E-4972-9221-D29D18184BF1}">
  <dimension ref="A2:Q15"/>
  <sheetViews>
    <sheetView workbookViewId="0">
      <selection activeCell="N9" sqref="N9"/>
    </sheetView>
  </sheetViews>
  <sheetFormatPr defaultRowHeight="15" x14ac:dyDescent="0.25"/>
  <cols>
    <col min="2" max="2" width="18.28515625" customWidth="1"/>
    <col min="14" max="14" width="20.42578125" customWidth="1"/>
    <col min="15" max="15" width="16" customWidth="1"/>
  </cols>
  <sheetData>
    <row r="2" spans="1:17" x14ac:dyDescent="0.25">
      <c r="A2" s="5"/>
    </row>
    <row r="3" spans="1:17" x14ac:dyDescent="0.25">
      <c r="A3" s="5"/>
      <c r="C3" s="1">
        <v>2019</v>
      </c>
      <c r="D3" s="1">
        <v>2018</v>
      </c>
      <c r="E3" s="1">
        <v>2017</v>
      </c>
      <c r="F3" s="1">
        <v>2016</v>
      </c>
      <c r="G3" s="1">
        <v>2015</v>
      </c>
      <c r="H3" s="1">
        <v>2014</v>
      </c>
      <c r="I3" s="1">
        <v>2013</v>
      </c>
      <c r="J3" s="1">
        <v>2012</v>
      </c>
      <c r="K3" s="1">
        <v>2011</v>
      </c>
      <c r="L3" s="1">
        <v>2010</v>
      </c>
      <c r="N3" t="s">
        <v>32</v>
      </c>
    </row>
    <row r="4" spans="1:17" x14ac:dyDescent="0.25">
      <c r="A4" s="5"/>
      <c r="B4" t="s">
        <v>21</v>
      </c>
      <c r="C4" s="5">
        <v>2.5499999999999998E-2</v>
      </c>
      <c r="D4" s="5">
        <v>1.8700000000000001E-2</v>
      </c>
      <c r="E4" s="5">
        <v>2.4299999999999999E-2</v>
      </c>
      <c r="F4" s="5">
        <v>2.2700000000000001E-2</v>
      </c>
      <c r="G4" s="5">
        <v>1.9300000000000001E-2</v>
      </c>
      <c r="H4" s="5">
        <v>2.3300000000000001E-2</v>
      </c>
      <c r="I4" s="5">
        <v>2.4500000000000001E-2</v>
      </c>
      <c r="N4" s="5">
        <f>AVERAGE(C4:M4)</f>
        <v>2.2614285714285715E-2</v>
      </c>
      <c r="O4" s="3"/>
    </row>
    <row r="5" spans="1:17" x14ac:dyDescent="0.25">
      <c r="A5" s="5"/>
      <c r="N5" s="5"/>
    </row>
    <row r="6" spans="1:17" x14ac:dyDescent="0.25">
      <c r="A6" s="5"/>
      <c r="B6" t="s">
        <v>30</v>
      </c>
      <c r="C6" s="5">
        <v>2.7099999999999999E-2</v>
      </c>
      <c r="D6" s="5">
        <v>2.2499999999999999E-2</v>
      </c>
      <c r="E6" s="5">
        <v>2.2700000000000001E-2</v>
      </c>
      <c r="F6" s="5">
        <v>2.8400000000000002E-2</v>
      </c>
      <c r="G6" s="5">
        <v>2.3300000000000001E-2</v>
      </c>
      <c r="H6" s="5">
        <v>2.29E-2</v>
      </c>
      <c r="I6" s="5">
        <v>2.07E-2</v>
      </c>
      <c r="J6" s="5">
        <v>2.29E-2</v>
      </c>
      <c r="K6" s="5">
        <v>1.8100000000000002E-2</v>
      </c>
      <c r="L6" s="5">
        <v>1.46E-2</v>
      </c>
      <c r="N6" s="5">
        <f t="shared" ref="N6:N9" si="0">AVERAGE(C6:M6)</f>
        <v>2.232E-2</v>
      </c>
    </row>
    <row r="7" spans="1:17" x14ac:dyDescent="0.25">
      <c r="A7" s="5"/>
      <c r="N7" s="5"/>
    </row>
    <row r="8" spans="1:17" x14ac:dyDescent="0.25">
      <c r="N8" s="5"/>
    </row>
    <row r="9" spans="1:17" x14ac:dyDescent="0.25">
      <c r="B9" t="s">
        <v>31</v>
      </c>
      <c r="C9" s="5">
        <v>1.84E-2</v>
      </c>
      <c r="D9" s="5">
        <v>1.3100000000000001E-2</v>
      </c>
      <c r="E9" s="5">
        <v>1.4800000000000001E-2</v>
      </c>
      <c r="F9" s="5">
        <v>1.9599999999999999E-2</v>
      </c>
      <c r="G9" s="5">
        <v>1.4E-2</v>
      </c>
      <c r="H9" s="5">
        <v>1.34E-2</v>
      </c>
      <c r="I9" s="5">
        <v>1.7500000000000002E-2</v>
      </c>
      <c r="J9" s="5">
        <v>1.84E-2</v>
      </c>
      <c r="K9" s="5">
        <v>1.26E-2</v>
      </c>
      <c r="N9" s="5">
        <f t="shared" si="0"/>
        <v>1.5755555555555554E-2</v>
      </c>
    </row>
    <row r="14" spans="1:17" x14ac:dyDescent="0.25">
      <c r="P14" s="25"/>
      <c r="Q14" s="18"/>
    </row>
    <row r="15" spans="1:17" x14ac:dyDescent="0.25">
      <c r="P15" s="25"/>
      <c r="Q1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Aannames</vt:lpstr>
      <vt:lpstr>MarketCap</vt:lpstr>
      <vt:lpstr>DividendLek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2020-08-14T15:26:41Z</dcterms:modified>
</cp:coreProperties>
</file>