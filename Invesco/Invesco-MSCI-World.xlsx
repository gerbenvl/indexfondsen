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64" documentId="13_ncr:1_{0128D462-482E-40FC-BDD9-3BC2319AD459}" xr6:coauthVersionLast="47" xr6:coauthVersionMax="47" xr10:uidLastSave="{BF8B62EF-52ED-4899-9761-B6DD5DFCDF1B}"/>
  <bookViews>
    <workbookView xWindow="-105" yWindow="0" windowWidth="26010" windowHeight="20985" xr2:uid="{00000000-000D-0000-FFFF-FFFF00000000}"/>
  </bookViews>
  <sheets>
    <sheet name="Kosten" sheetId="2" r:id="rId1"/>
    <sheet name="Performance" sheetId="1" r:id="rId2"/>
  </sheets>
  <definedNames>
    <definedName name="_xlnm._FilterDatabase" localSheetId="1" hidden="1">Performance!$A$5:$B$5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2" l="1"/>
  <c r="M9" i="2"/>
  <c r="M6" i="2"/>
  <c r="H9" i="2"/>
  <c r="I9" i="2"/>
  <c r="J9" i="2"/>
  <c r="K9" i="2"/>
  <c r="I6" i="2"/>
  <c r="J6" i="2"/>
  <c r="K6" i="2"/>
  <c r="K4" i="2"/>
  <c r="J4" i="2"/>
  <c r="I4" i="2"/>
  <c r="C10" i="1"/>
  <c r="H4" i="2" s="1"/>
  <c r="C11" i="1"/>
  <c r="G4" i="2" s="1"/>
  <c r="G6" i="2" s="1"/>
  <c r="G9" i="2" s="1"/>
  <c r="C15" i="1"/>
  <c r="C4" i="2" s="1"/>
  <c r="C6" i="2" s="1"/>
  <c r="C16" i="1"/>
  <c r="B4" i="2" s="1"/>
  <c r="B6" i="2" s="1"/>
  <c r="C13" i="1"/>
  <c r="E4" i="2" s="1"/>
  <c r="E6" i="2" s="1"/>
  <c r="E9" i="2" s="1"/>
  <c r="C14" i="1"/>
  <c r="D4" i="2" s="1"/>
  <c r="D6" i="2" s="1"/>
  <c r="C12" i="1"/>
  <c r="F4" i="2" s="1"/>
  <c r="F6" i="2" s="1"/>
  <c r="F9" i="2" s="1"/>
  <c r="H6" i="2" l="1"/>
  <c r="D9" i="2"/>
</calcChain>
</file>

<file path=xl/sharedStrings.xml><?xml version="1.0" encoding="utf-8"?>
<sst xmlns="http://schemas.openxmlformats.org/spreadsheetml/2006/main" count="16" uniqueCount="16">
  <si>
    <t>MSCI World</t>
  </si>
  <si>
    <t>Date</t>
  </si>
  <si>
    <t>NAV</t>
  </si>
  <si>
    <t>Gross index ($)</t>
  </si>
  <si>
    <t>Diff</t>
  </si>
  <si>
    <t>Invesco MSCI World</t>
  </si>
  <si>
    <t>TER</t>
  </si>
  <si>
    <t>Let op: Fiscaal jaar loopt anders als boekjaar</t>
  </si>
  <si>
    <t>Diff na kosten</t>
  </si>
  <si>
    <t>AVG</t>
  </si>
  <si>
    <t>Perf</t>
  </si>
  <si>
    <t>Sinds 2018 werkt de USA swap weer</t>
  </si>
  <si>
    <t>Diff na kosten te groot voor dividendlek, zou kleiner moeten zijn?</t>
  </si>
  <si>
    <t>IWDA lek</t>
  </si>
  <si>
    <t>2018-2025</t>
  </si>
  <si>
    <t>Invesco kosten buiten 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</si>
</sst>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24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9C65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8"/>
      <color theme="3"/>
      <name val="Cambria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1"/>
      <name val="Arial"/>
      <family val="2"/>
    </font>
    <font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9" fillId="0" borderId="0" xfId="0" applyFont="1"/>
    <xf numFmtId="10" fontId="18" fillId="0" borderId="0" xfId="0" applyNumberFormat="1" applyFont="1"/>
    <xf numFmtId="10" fontId="18" fillId="33" borderId="0" xfId="0" applyNumberFormat="1" applyFont="1" applyFill="1"/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/>
    <xf numFmtId="49" fontId="22" fillId="0" borderId="0" xfId="0" applyNumberFormat="1" applyFont="1"/>
    <xf numFmtId="49" fontId="23" fillId="0" borderId="0" xfId="0" applyNumberFormat="1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164" fontId="20" fillId="0" borderId="1" xfId="0" applyNumberFormat="1" applyFont="1" applyBorder="1" applyAlignment="1">
      <alignment horizontal="right"/>
    </xf>
    <xf numFmtId="10" fontId="21" fillId="0" borderId="0" xfId="42" applyNumberFormat="1" applyFont="1" applyFill="1"/>
    <xf numFmtId="164" fontId="20" fillId="0" borderId="11" xfId="0" applyNumberFormat="1" applyFont="1" applyBorder="1" applyAlignment="1">
      <alignment horizontal="right"/>
    </xf>
    <xf numFmtId="14" fontId="20" fillId="0" borderId="11" xfId="0" applyNumberFormat="1" applyFont="1" applyBorder="1" applyAlignment="1">
      <alignment horizontal="right" vertical="center"/>
    </xf>
    <xf numFmtId="14" fontId="20" fillId="0" borderId="1" xfId="0" applyNumberFormat="1" applyFont="1" applyBorder="1" applyAlignment="1">
      <alignment horizontal="right"/>
    </xf>
    <xf numFmtId="14" fontId="20" fillId="0" borderId="11" xfId="0" applyNumberFormat="1" applyFont="1" applyBorder="1" applyAlignment="1">
      <alignment horizontal="right"/>
    </xf>
    <xf numFmtId="10" fontId="0" fillId="0" borderId="0" xfId="0" applyNumberFormat="1"/>
    <xf numFmtId="0" fontId="21" fillId="0" borderId="0" xfId="0" applyFont="1" applyAlignment="1">
      <alignment horizontal="center"/>
    </xf>
    <xf numFmtId="0" fontId="20" fillId="0" borderId="11" xfId="0" applyFont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0</xdr:col>
      <xdr:colOff>977900</xdr:colOff>
      <xdr:row>0</xdr:row>
      <xdr:rowOff>823566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BB5A93-EC8C-0A42-A0B1-F17BFDBBE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2700"/>
          <a:ext cx="965200" cy="810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Custom 4">
      <a:dk1>
        <a:srgbClr val="000000"/>
      </a:dk1>
      <a:lt1>
        <a:srgbClr val="FFFFFF"/>
      </a:lt1>
      <a:dk2>
        <a:srgbClr val="1450D2"/>
      </a:dk2>
      <a:lt2>
        <a:srgbClr val="E5E5E5"/>
      </a:lt2>
      <a:accent1>
        <a:srgbClr val="001A7B"/>
      </a:accent1>
      <a:accent2>
        <a:srgbClr val="0051DA"/>
      </a:accent2>
      <a:accent3>
        <a:srgbClr val="00C1B5"/>
      </a:accent3>
      <a:accent4>
        <a:srgbClr val="E10091"/>
      </a:accent4>
      <a:accent5>
        <a:srgbClr val="6D28AA"/>
      </a:accent5>
      <a:accent6>
        <a:srgbClr val="FE3B00"/>
      </a:accent6>
      <a:hlink>
        <a:srgbClr val="1450D2"/>
      </a:hlink>
      <a:folHlink>
        <a:srgbClr val="560C7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spAutoFit/>
      </a:bodyPr>
      <a:lstStyle>
        <a:defPPr>
          <a:defRPr dirty="0"/>
        </a:defPPr>
      </a:lstStyle>
    </a:txDef>
  </a:objectDefaults>
  <a:extraClrSchemeLst/>
  <a:custClrLst>
    <a:custClr name="R226 G35 B26">
      <a:srgbClr val="E2231A"/>
    </a:custClr>
    <a:custClr name="R175 G35 B165">
      <a:srgbClr val="AF23A5"/>
    </a:custClr>
    <a:custClr name="R0 G155 B250">
      <a:srgbClr val="009BFA"/>
    </a:custClr>
    <a:custClr name="R0 G140 B130">
      <a:srgbClr val="008C82"/>
    </a:custClr>
    <a:custClr name="R0 G183 B96">
      <a:srgbClr val="00B760"/>
    </a:custClr>
    <a:custClr name="R140 G200 B0">
      <a:srgbClr val="8CC800"/>
    </a:custClr>
  </a:custClrLst>
  <a:extLst>
    <a:ext uri="{05A4C25C-085E-4340-85A3-A5531E510DB2}">
      <thm15:themeFamily xmlns:thm15="http://schemas.microsoft.com/office/thememl/2012/main" name="Theme1" id="{CBA47CF3-B336-A641-A8DA-5EDE0FEAF410}" vid="{7D7B48C6-3F2C-8D48-8C19-7144FBD42ACB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F261-F35D-4366-9985-5F1DFE201882}">
  <dimension ref="A1:O15"/>
  <sheetViews>
    <sheetView tabSelected="1" zoomScale="115" zoomScaleNormal="115" workbookViewId="0">
      <selection activeCell="D28" sqref="D28"/>
    </sheetView>
  </sheetViews>
  <sheetFormatPr defaultRowHeight="14.25" x14ac:dyDescent="0.2"/>
  <cols>
    <col min="1" max="1" width="31.125" bestFit="1" customWidth="1"/>
  </cols>
  <sheetData>
    <row r="1" spans="1:15" s="1" customFormat="1" x14ac:dyDescent="0.2"/>
    <row r="2" spans="1:15" s="1" customFormat="1" ht="15" x14ac:dyDescent="0.25">
      <c r="M2" s="2" t="s">
        <v>9</v>
      </c>
      <c r="O2" t="s">
        <v>7</v>
      </c>
    </row>
    <row r="3" spans="1:15" s="1" customFormat="1" ht="15" x14ac:dyDescent="0.25">
      <c r="B3" s="2">
        <v>2016</v>
      </c>
      <c r="C3" s="2">
        <v>2017</v>
      </c>
      <c r="D3" s="2">
        <v>2018</v>
      </c>
      <c r="E3" s="2">
        <v>2019</v>
      </c>
      <c r="F3" s="2">
        <v>2020</v>
      </c>
      <c r="G3" s="2">
        <v>2021</v>
      </c>
      <c r="H3" s="2">
        <v>2022</v>
      </c>
      <c r="I3" s="2">
        <v>2023</v>
      </c>
      <c r="J3" s="2">
        <v>2024</v>
      </c>
      <c r="K3" s="2">
        <v>2025</v>
      </c>
      <c r="L3" s="2"/>
    </row>
    <row r="4" spans="1:15" s="1" customFormat="1" ht="15" x14ac:dyDescent="0.25">
      <c r="A4" s="2" t="s">
        <v>5</v>
      </c>
      <c r="B4" s="3">
        <f>Performance!C16</f>
        <v>7.5140983218559262E-2</v>
      </c>
      <c r="C4" s="4">
        <f>Performance!C15</f>
        <v>0.22412749348054314</v>
      </c>
      <c r="D4" s="3">
        <f>Performance!C14</f>
        <v>-8.6303878322788297E-2</v>
      </c>
      <c r="E4" s="3">
        <f>Performance!C13</f>
        <v>0.27917737497303208</v>
      </c>
      <c r="F4" s="3">
        <f>Performance!C12</f>
        <v>0.16096312460701989</v>
      </c>
      <c r="G4" s="3">
        <f>Performance!C11</f>
        <v>0.21934845882119067</v>
      </c>
      <c r="H4" s="3">
        <f>Performance!C10</f>
        <v>-0.18019401119504377</v>
      </c>
      <c r="I4" s="3">
        <f>Performance!C9</f>
        <v>0.23960000000000001</v>
      </c>
      <c r="J4" s="3">
        <f>Performance!C8</f>
        <v>0.18759999999999999</v>
      </c>
      <c r="K4" s="3">
        <f>Performance!C7</f>
        <v>0.2117</v>
      </c>
      <c r="L4" s="3"/>
    </row>
    <row r="5" spans="1:15" s="1" customFormat="1" ht="15" x14ac:dyDescent="0.25">
      <c r="A5" s="2" t="s">
        <v>3</v>
      </c>
      <c r="B5" s="3">
        <v>8.1500000000000003E-2</v>
      </c>
      <c r="C5" s="3">
        <v>0.23069999999999999</v>
      </c>
      <c r="D5" s="3">
        <v>-8.2000000000000003E-2</v>
      </c>
      <c r="E5" s="3">
        <v>0.28399999999999997</v>
      </c>
      <c r="F5" s="3">
        <v>0.16500000000000001</v>
      </c>
      <c r="G5" s="3">
        <v>0.2235</v>
      </c>
      <c r="H5" s="3">
        <v>-0.17730000000000001</v>
      </c>
      <c r="I5" s="3">
        <v>0.2442</v>
      </c>
      <c r="J5" s="3">
        <v>0.19189999999999999</v>
      </c>
      <c r="K5" s="3">
        <v>0.216</v>
      </c>
      <c r="L5" s="3"/>
    </row>
    <row r="6" spans="1:15" s="1" customFormat="1" ht="15" x14ac:dyDescent="0.25">
      <c r="A6" s="2" t="s">
        <v>4</v>
      </c>
      <c r="B6" s="3">
        <f t="shared" ref="B6:K6" si="0">B5-B4</f>
        <v>6.3590167814407406E-3</v>
      </c>
      <c r="C6" s="3">
        <f t="shared" si="0"/>
        <v>6.5725065194568444E-3</v>
      </c>
      <c r="D6" s="3">
        <f t="shared" si="0"/>
        <v>4.3038783227882932E-3</v>
      </c>
      <c r="E6" s="3">
        <f t="shared" si="0"/>
        <v>4.8226250269678972E-3</v>
      </c>
      <c r="F6" s="3">
        <f t="shared" si="0"/>
        <v>4.036875392980116E-3</v>
      </c>
      <c r="G6" s="3">
        <f t="shared" si="0"/>
        <v>4.151541178809337E-3</v>
      </c>
      <c r="H6" s="3">
        <f t="shared" si="0"/>
        <v>2.8940111950437608E-3</v>
      </c>
      <c r="I6" s="3">
        <f t="shared" si="0"/>
        <v>4.599999999999993E-3</v>
      </c>
      <c r="J6" s="3">
        <f t="shared" si="0"/>
        <v>4.2999999999999983E-3</v>
      </c>
      <c r="K6" s="3">
        <f t="shared" si="0"/>
        <v>4.2999999999999983E-3</v>
      </c>
      <c r="L6" s="3"/>
      <c r="M6" s="3">
        <f>AVERAGE(D6:K6)</f>
        <v>4.1761163895736742E-3</v>
      </c>
    </row>
    <row r="7" spans="1:15" s="1" customFormat="1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5" s="1" customFormat="1" ht="15" x14ac:dyDescent="0.25">
      <c r="A8" s="2" t="s">
        <v>6</v>
      </c>
      <c r="B8" s="3"/>
      <c r="C8" s="3"/>
      <c r="D8" s="3">
        <v>1.9E-3</v>
      </c>
      <c r="E8" s="3">
        <v>1.9E-3</v>
      </c>
      <c r="F8" s="3">
        <v>1.9E-3</v>
      </c>
      <c r="G8" s="3">
        <v>1.9E-3</v>
      </c>
      <c r="H8" s="3">
        <v>1.9E-3</v>
      </c>
      <c r="I8" s="3">
        <v>1.9E-3</v>
      </c>
      <c r="J8" s="3">
        <v>1.9E-3</v>
      </c>
      <c r="K8" s="3">
        <v>1.9E-3</v>
      </c>
      <c r="L8" s="3"/>
      <c r="M8" s="3"/>
    </row>
    <row r="9" spans="1:15" s="1" customFormat="1" ht="15" x14ac:dyDescent="0.25">
      <c r="A9" s="2" t="s">
        <v>8</v>
      </c>
      <c r="B9" s="3"/>
      <c r="C9" s="3"/>
      <c r="D9" s="3">
        <f>D6-D8</f>
        <v>2.4038783227882934E-3</v>
      </c>
      <c r="E9" s="3">
        <f>E6-E8</f>
        <v>2.9226250269678974E-3</v>
      </c>
      <c r="F9" s="3">
        <f>F6-F8</f>
        <v>2.1368753929801162E-3</v>
      </c>
      <c r="G9" s="3">
        <f>G6-G8</f>
        <v>2.2515411788093373E-3</v>
      </c>
      <c r="H9" s="3">
        <f t="shared" ref="H9:K9" si="1">H6-H8</f>
        <v>9.9401119504376081E-4</v>
      </c>
      <c r="I9" s="3">
        <f t="shared" si="1"/>
        <v>2.6999999999999932E-3</v>
      </c>
      <c r="J9" s="3">
        <f t="shared" si="1"/>
        <v>2.3999999999999985E-3</v>
      </c>
      <c r="K9" s="3">
        <f t="shared" si="1"/>
        <v>2.3999999999999985E-3</v>
      </c>
      <c r="L9" s="3"/>
      <c r="M9" s="3">
        <f>AVERAGE(D9:K9)</f>
        <v>2.2761163895736744E-3</v>
      </c>
    </row>
    <row r="10" spans="1:15" s="1" customFormat="1" ht="15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5" ht="15" x14ac:dyDescent="0.25">
      <c r="A11" s="2"/>
      <c r="F11" s="17"/>
      <c r="G11" s="17"/>
      <c r="H11" s="17"/>
      <c r="I11" s="17"/>
      <c r="J11" s="17"/>
      <c r="K11" s="17"/>
    </row>
    <row r="12" spans="1:15" ht="15" x14ac:dyDescent="0.25">
      <c r="A12" s="2" t="s">
        <v>13</v>
      </c>
      <c r="B12" s="17">
        <v>2.5999999999999999E-3</v>
      </c>
      <c r="C12" t="s">
        <v>14</v>
      </c>
      <c r="F12" s="17"/>
      <c r="G12" s="17"/>
      <c r="H12" s="17"/>
      <c r="I12" s="17"/>
      <c r="J12" s="17"/>
      <c r="K12" s="17"/>
    </row>
    <row r="13" spans="1:15" ht="15" x14ac:dyDescent="0.25">
      <c r="A13" s="2" t="s">
        <v>15</v>
      </c>
      <c r="B13" s="17">
        <f>M9</f>
        <v>2.2761163895736744E-3</v>
      </c>
      <c r="D13" s="1" t="s">
        <v>11</v>
      </c>
    </row>
    <row r="15" spans="1:15" x14ac:dyDescent="0.2">
      <c r="A15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115" zoomScaleNormal="115" workbookViewId="0">
      <selection activeCell="C8" sqref="C8"/>
    </sheetView>
  </sheetViews>
  <sheetFormatPr defaultColWidth="9.125" defaultRowHeight="14.25" x14ac:dyDescent="0.2"/>
  <cols>
    <col min="1" max="1" width="36.125" style="7" customWidth="1"/>
    <col min="2" max="6" width="20.875" style="7" customWidth="1"/>
    <col min="7" max="16384" width="9.125" style="7"/>
  </cols>
  <sheetData>
    <row r="1" spans="1:4" ht="118.5" customHeight="1" x14ac:dyDescent="0.2">
      <c r="A1" s="6"/>
      <c r="B1" s="18"/>
    </row>
    <row r="2" spans="1:4" ht="27" x14ac:dyDescent="0.4">
      <c r="A2" s="8" t="s">
        <v>0</v>
      </c>
    </row>
    <row r="3" spans="1:4" ht="15" x14ac:dyDescent="0.2">
      <c r="A3" s="9"/>
    </row>
    <row r="5" spans="1:4" x14ac:dyDescent="0.2">
      <c r="A5" s="5" t="s">
        <v>1</v>
      </c>
      <c r="B5" s="5" t="s">
        <v>2</v>
      </c>
      <c r="C5" s="10" t="s">
        <v>10</v>
      </c>
      <c r="D5" s="10"/>
    </row>
    <row r="6" spans="1:4" x14ac:dyDescent="0.2">
      <c r="A6" s="19"/>
      <c r="B6" s="19"/>
      <c r="C6" s="10"/>
      <c r="D6" s="10"/>
    </row>
    <row r="7" spans="1:4" x14ac:dyDescent="0.2">
      <c r="A7" s="19">
        <v>2025</v>
      </c>
      <c r="B7" s="19"/>
      <c r="C7" s="20">
        <v>0.2117</v>
      </c>
      <c r="D7" s="10"/>
    </row>
    <row r="8" spans="1:4" x14ac:dyDescent="0.2">
      <c r="A8" s="19">
        <v>2024</v>
      </c>
      <c r="B8" s="19"/>
      <c r="C8" s="20">
        <v>0.18759999999999999</v>
      </c>
      <c r="D8" s="10"/>
    </row>
    <row r="9" spans="1:4" x14ac:dyDescent="0.2">
      <c r="A9" s="19">
        <v>2023</v>
      </c>
      <c r="B9" s="19"/>
      <c r="C9" s="20">
        <v>0.23960000000000001</v>
      </c>
      <c r="D9" s="10"/>
    </row>
    <row r="10" spans="1:4" x14ac:dyDescent="0.2">
      <c r="A10" s="14">
        <v>44925</v>
      </c>
      <c r="B10" s="11">
        <v>78.443299999999994</v>
      </c>
      <c r="C10" s="12">
        <f t="shared" ref="C10:C16" si="0">(B10-B11)/B11</f>
        <v>-0.18019401119504377</v>
      </c>
      <c r="D10" s="10"/>
    </row>
    <row r="11" spans="1:4" x14ac:dyDescent="0.2">
      <c r="A11" s="15">
        <v>44561</v>
      </c>
      <c r="B11" s="11">
        <v>95.685199999999995</v>
      </c>
      <c r="C11" s="12">
        <f t="shared" si="0"/>
        <v>0.21934845882119067</v>
      </c>
      <c r="D11" s="10"/>
    </row>
    <row r="12" spans="1:4" ht="15" customHeight="1" x14ac:dyDescent="0.2">
      <c r="A12" s="15">
        <v>44196</v>
      </c>
      <c r="B12" s="11">
        <v>78.472399999999993</v>
      </c>
      <c r="C12" s="12">
        <f t="shared" si="0"/>
        <v>0.16096312460701989</v>
      </c>
    </row>
    <row r="13" spans="1:4" ht="15" customHeight="1" x14ac:dyDescent="0.2">
      <c r="A13" s="15">
        <v>43830</v>
      </c>
      <c r="B13" s="11">
        <v>67.592500000000001</v>
      </c>
      <c r="C13" s="12">
        <f t="shared" si="0"/>
        <v>0.27917737497303208</v>
      </c>
    </row>
    <row r="14" spans="1:4" ht="15" customHeight="1" x14ac:dyDescent="0.2">
      <c r="A14" s="15">
        <v>43465</v>
      </c>
      <c r="B14" s="11">
        <v>52.840600000000002</v>
      </c>
      <c r="C14" s="12">
        <f t="shared" si="0"/>
        <v>-8.6303878322788297E-2</v>
      </c>
    </row>
    <row r="15" spans="1:4" ht="15" customHeight="1" x14ac:dyDescent="0.2">
      <c r="A15" s="15">
        <v>43098</v>
      </c>
      <c r="B15" s="11">
        <v>57.831699999999998</v>
      </c>
      <c r="C15" s="12">
        <f t="shared" si="0"/>
        <v>0.22412749348054314</v>
      </c>
    </row>
    <row r="16" spans="1:4" x14ac:dyDescent="0.2">
      <c r="A16" s="16">
        <v>42734</v>
      </c>
      <c r="B16" s="13">
        <v>47.243200000000002</v>
      </c>
      <c r="C16" s="12">
        <f t="shared" si="0"/>
        <v>7.5140983218559262E-2</v>
      </c>
    </row>
    <row r="17" spans="1:2" x14ac:dyDescent="0.2">
      <c r="A17" s="16">
        <v>42369</v>
      </c>
      <c r="B17" s="13">
        <v>43.941400000000002</v>
      </c>
    </row>
  </sheetData>
  <mergeCells count="1">
    <mergeCell ref="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Kosten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2014-06-25T10:42:45Z</dcterms:created>
  <dcterms:modified xsi:type="dcterms:W3CDTF">2026-01-16T09:42:26Z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e48f9819-478f-4fd4-974b-6c0069a9c925</vt:lpwstr>
  </property>
</Properties>
</file>