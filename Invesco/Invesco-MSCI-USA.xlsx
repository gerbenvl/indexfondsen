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Invesco/"/>
    </mc:Choice>
  </mc:AlternateContent>
  <xr:revisionPtr revIDLastSave="386" documentId="11_AD4D7A0C205A6B9A452FA8E75FDB70E25BDEDD8D" xr6:coauthVersionLast="47" xr6:coauthVersionMax="47" xr10:uidLastSave="{84A34140-3383-4E2F-98B2-B5E5F3581411}"/>
  <bookViews>
    <workbookView xWindow="25695" yWindow="0" windowWidth="26010" windowHeight="20985" xr2:uid="{00000000-000D-0000-FFFF-FFFF00000000}"/>
  </bookViews>
  <sheets>
    <sheet name="Costs" sheetId="1" r:id="rId1"/>
    <sheet name="Performance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O8" i="1"/>
  <c r="J15" i="1"/>
  <c r="K15" i="1"/>
  <c r="L15" i="1"/>
  <c r="M15" i="1"/>
  <c r="M4" i="1"/>
  <c r="M6" i="1"/>
  <c r="K4" i="1"/>
  <c r="K6" i="1"/>
  <c r="K8" i="1"/>
  <c r="L4" i="1"/>
  <c r="L6" i="1"/>
  <c r="L8" i="1"/>
  <c r="D7" i="2"/>
  <c r="J4" i="1"/>
  <c r="J6" i="1"/>
  <c r="J8" i="1"/>
  <c r="I15" i="1"/>
  <c r="D8" i="2"/>
  <c r="I4" i="1"/>
  <c r="I6" i="1"/>
  <c r="I8" i="1"/>
  <c r="D17" i="2"/>
  <c r="D16" i="2"/>
  <c r="D15" i="2"/>
  <c r="D14" i="2"/>
  <c r="D13" i="2"/>
  <c r="D4" i="1"/>
  <c r="D6" i="1"/>
  <c r="D8" i="1"/>
  <c r="D12" i="2"/>
  <c r="E4" i="1"/>
  <c r="E6" i="1"/>
  <c r="E8" i="1"/>
  <c r="D11" i="2"/>
  <c r="D10" i="2"/>
  <c r="G4" i="1"/>
  <c r="G6" i="1"/>
  <c r="D9" i="2"/>
  <c r="H4" i="1"/>
  <c r="H6" i="1"/>
  <c r="G13" i="1"/>
  <c r="G15" i="1"/>
  <c r="G17" i="1"/>
  <c r="H13" i="1"/>
  <c r="H15" i="1"/>
  <c r="H17" i="1"/>
  <c r="G3" i="1"/>
  <c r="F15" i="1"/>
  <c r="F4" i="1"/>
  <c r="F6" i="1"/>
  <c r="F8" i="1"/>
  <c r="C4" i="1"/>
  <c r="C6" i="1"/>
  <c r="C8" i="1"/>
  <c r="B4" i="1"/>
  <c r="B6" i="1"/>
  <c r="B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 van Loon</author>
  </authors>
  <commentList>
    <comment ref="M8" authorId="0" shapeId="0" xr:uid="{9BE562CE-C897-402E-A07B-46579D214CE3}">
      <text>
        <r>
          <rPr>
            <b/>
            <sz val="9"/>
            <color indexed="81"/>
            <rFont val="Tahoma"/>
            <family val="2"/>
          </rPr>
          <t>Pas vanaf hier neem ik weer transactiekosten mee</t>
        </r>
      </text>
    </comment>
  </commentList>
</comments>
</file>

<file path=xl/sharedStrings.xml><?xml version="1.0" encoding="utf-8"?>
<sst xmlns="http://schemas.openxmlformats.org/spreadsheetml/2006/main" count="25" uniqueCount="21">
  <si>
    <t>TER</t>
  </si>
  <si>
    <t>was 0,19%</t>
  </si>
  <si>
    <t>was 0,30%</t>
  </si>
  <si>
    <t>MSCI USA Gross</t>
  </si>
  <si>
    <t>Invesco MSCI USA</t>
  </si>
  <si>
    <t>Gross TD</t>
  </si>
  <si>
    <t>TD after costs</t>
  </si>
  <si>
    <t>Swap fee</t>
  </si>
  <si>
    <t>Operating expense</t>
  </si>
  <si>
    <t>https://etf.invesco.com/nl/institutional/en/product/invesco-msci-usa-ucits-etf-acc/performance</t>
  </si>
  <si>
    <t>Fiscal year (1-12)</t>
  </si>
  <si>
    <t>Average AUM</t>
  </si>
  <si>
    <t>! Fiscal year different from calendar year</t>
  </si>
  <si>
    <t>2018 can't find swap fee</t>
  </si>
  <si>
    <t>Cost lowerings</t>
  </si>
  <si>
    <t>to 0,19%</t>
  </si>
  <si>
    <t>to 0,05%</t>
  </si>
  <si>
    <t>After 2021: can't find swap fee, got the number from the site</t>
  </si>
  <si>
    <t>AVG</t>
  </si>
  <si>
    <t>KIID Transaction costs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</si>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</sst>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%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1" applyNumberFormat="1" applyFont="1"/>
    <xf numFmtId="164" fontId="0" fillId="0" borderId="0" xfId="1" applyNumberFormat="1" applyFont="1"/>
    <xf numFmtId="165" fontId="0" fillId="0" borderId="0" xfId="2" applyNumberFormat="1" applyFont="1"/>
    <xf numFmtId="0" fontId="2" fillId="0" borderId="0" xfId="0" applyFont="1"/>
    <xf numFmtId="14" fontId="3" fillId="0" borderId="0" xfId="3" applyNumberFormat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tf.invesco.com/nl/institutional/en/product/invesco-msci-usa-ucits-etf-acc/perform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zoomScaleNormal="100" workbookViewId="0">
      <selection activeCell="G31" sqref="G31"/>
    </sheetView>
  </sheetViews>
  <sheetFormatPr defaultRowHeight="15" x14ac:dyDescent="0.25"/>
  <cols>
    <col min="1" max="1" width="19.28515625" customWidth="1"/>
    <col min="2" max="13" width="15.7109375" customWidth="1"/>
    <col min="17" max="17" width="20.140625" customWidth="1"/>
    <col min="18" max="18" width="13.42578125" customWidth="1"/>
  </cols>
  <sheetData>
    <row r="1" spans="1:19" x14ac:dyDescent="0.25">
      <c r="O1" t="s">
        <v>18</v>
      </c>
      <c r="Q1" s="7" t="s">
        <v>14</v>
      </c>
    </row>
    <row r="2" spans="1:19" x14ac:dyDescent="0.25">
      <c r="B2" s="7">
        <v>2014</v>
      </c>
      <c r="C2" s="7">
        <v>2015</v>
      </c>
      <c r="D2" s="7">
        <v>2016</v>
      </c>
      <c r="E2" s="7">
        <v>2017</v>
      </c>
      <c r="F2" s="7">
        <v>2018</v>
      </c>
      <c r="G2" s="7">
        <v>2019</v>
      </c>
      <c r="H2" s="7">
        <v>2020</v>
      </c>
      <c r="I2" s="7">
        <v>2021</v>
      </c>
      <c r="J2" s="7">
        <v>2022</v>
      </c>
      <c r="K2" s="7">
        <v>2023</v>
      </c>
      <c r="L2" s="7">
        <v>2024</v>
      </c>
      <c r="M2" s="7">
        <v>2025</v>
      </c>
      <c r="Q2" s="3">
        <v>43102</v>
      </c>
      <c r="R2" t="s">
        <v>15</v>
      </c>
      <c r="S2" t="s">
        <v>2</v>
      </c>
    </row>
    <row r="3" spans="1:19" x14ac:dyDescent="0.25">
      <c r="A3" s="7" t="s">
        <v>0</v>
      </c>
      <c r="B3" s="1">
        <v>3.0000000000000001E-3</v>
      </c>
      <c r="C3" s="1">
        <v>3.0000000000000001E-3</v>
      </c>
      <c r="D3" s="1">
        <v>3.0000000000000001E-3</v>
      </c>
      <c r="E3" s="1">
        <v>3.0000000000000001E-3</v>
      </c>
      <c r="F3" s="1">
        <v>1.9E-3</v>
      </c>
      <c r="G3" s="4">
        <f>((5/12)*0.19%)+((7/12)*0.05%)</f>
        <v>1.0833333333333333E-3</v>
      </c>
      <c r="H3" s="1">
        <v>5.0000000000000001E-4</v>
      </c>
      <c r="I3" s="1">
        <v>5.0000000000000001E-4</v>
      </c>
      <c r="J3" s="1">
        <v>5.0000000000000001E-4</v>
      </c>
      <c r="K3" s="1">
        <v>5.0000000000000001E-4</v>
      </c>
      <c r="L3" s="1">
        <v>5.0000000000000001E-4</v>
      </c>
      <c r="M3" s="1">
        <v>5.0000000000000001E-4</v>
      </c>
      <c r="Q3" s="3">
        <v>43613</v>
      </c>
      <c r="R3" t="s">
        <v>16</v>
      </c>
      <c r="S3" t="s">
        <v>1</v>
      </c>
    </row>
    <row r="4" spans="1:19" x14ac:dyDescent="0.25">
      <c r="A4" s="7" t="s">
        <v>4</v>
      </c>
      <c r="B4" s="1">
        <f>Performance!D15</f>
        <v>0.12684074625681874</v>
      </c>
      <c r="C4" s="1">
        <f>Performance!D14</f>
        <v>6.995604773747467E-3</v>
      </c>
      <c r="D4" s="1">
        <f>Performance!D13</f>
        <v>0.10907265815215068</v>
      </c>
      <c r="E4" s="1">
        <f>Performance!D12</f>
        <v>0.21178567239535101</v>
      </c>
      <c r="F4" s="1">
        <f>Performance!D11</f>
        <v>-4.6835068152760437E-2</v>
      </c>
      <c r="G4" s="1">
        <f>Performance!D10</f>
        <v>0.31472954457270352</v>
      </c>
      <c r="H4" s="1">
        <f>Performance!D9</f>
        <v>0.21262192668662605</v>
      </c>
      <c r="I4" s="1">
        <f>Performance!D8</f>
        <v>0.26859062176466281</v>
      </c>
      <c r="J4" s="1">
        <f>Performance!D7</f>
        <v>-0.19533401629669486</v>
      </c>
      <c r="K4" s="1">
        <f>Performance!D6</f>
        <v>0.26950000000000002</v>
      </c>
      <c r="L4" s="1">
        <f>Performance!D5</f>
        <v>0.24940000000000001</v>
      </c>
      <c r="M4" s="1">
        <f>Performance!D4</f>
        <v>0.17610000000000001</v>
      </c>
    </row>
    <row r="5" spans="1:19" x14ac:dyDescent="0.25">
      <c r="A5" s="7" t="s">
        <v>3</v>
      </c>
      <c r="B5" s="1">
        <v>0.1336</v>
      </c>
      <c r="C5" s="1">
        <v>1.32E-2</v>
      </c>
      <c r="D5" s="1">
        <v>0.11609999999999999</v>
      </c>
      <c r="E5" s="1">
        <v>0.219</v>
      </c>
      <c r="F5" s="1">
        <v>-4.4999999999999998E-2</v>
      </c>
      <c r="G5" s="1">
        <v>0.31640000000000001</v>
      </c>
      <c r="H5" s="1">
        <v>0.2137</v>
      </c>
      <c r="I5" s="1">
        <v>0.2697</v>
      </c>
      <c r="J5" s="1">
        <v>-0.1946</v>
      </c>
      <c r="K5" s="1">
        <v>0.27100000000000002</v>
      </c>
      <c r="L5" s="1">
        <v>0.25080000000000002</v>
      </c>
      <c r="M5" s="1">
        <v>0.17749999999999999</v>
      </c>
    </row>
    <row r="6" spans="1:19" x14ac:dyDescent="0.25">
      <c r="A6" s="7" t="s">
        <v>5</v>
      </c>
      <c r="B6" s="1">
        <f t="shared" ref="B6:G6" si="0">B5-B4</f>
        <v>6.7592537431812594E-3</v>
      </c>
      <c r="C6" s="1">
        <f t="shared" si="0"/>
        <v>6.2043952262525329E-3</v>
      </c>
      <c r="D6" s="1">
        <f t="shared" si="0"/>
        <v>7.027341847849311E-3</v>
      </c>
      <c r="E6" s="1">
        <f t="shared" si="0"/>
        <v>7.2143276046489901E-3</v>
      </c>
      <c r="F6" s="1">
        <f t="shared" si="0"/>
        <v>1.8350681527604384E-3</v>
      </c>
      <c r="G6" s="1">
        <f t="shared" si="0"/>
        <v>1.6704554272964911E-3</v>
      </c>
      <c r="H6" s="1">
        <f>H5-H4</f>
        <v>1.0780733133739506E-3</v>
      </c>
      <c r="I6" s="1">
        <f>I5-I4</f>
        <v>1.1093782353371884E-3</v>
      </c>
      <c r="J6" s="1">
        <f>J5-J4</f>
        <v>7.3401629669486712E-4</v>
      </c>
      <c r="K6" s="1">
        <f t="shared" ref="K6:M6" si="1">K5-K4</f>
        <v>1.5000000000000013E-3</v>
      </c>
      <c r="L6" s="1">
        <f t="shared" si="1"/>
        <v>1.4000000000000123E-3</v>
      </c>
      <c r="M6" s="1">
        <f t="shared" si="1"/>
        <v>1.3999999999999846E-3</v>
      </c>
    </row>
    <row r="7" spans="1:19" x14ac:dyDescent="0.25">
      <c r="A7" s="7"/>
    </row>
    <row r="8" spans="1:19" x14ac:dyDescent="0.25">
      <c r="A8" s="7" t="s">
        <v>6</v>
      </c>
      <c r="B8" s="1">
        <f>B6-B3</f>
        <v>3.7592537431812593E-3</v>
      </c>
      <c r="C8" s="1">
        <f t="shared" ref="C8:F8" si="2">C6-C3</f>
        <v>3.2043952262525328E-3</v>
      </c>
      <c r="D8" s="1">
        <f t="shared" si="2"/>
        <v>4.027341847849311E-3</v>
      </c>
      <c r="E8" s="1">
        <f t="shared" si="2"/>
        <v>4.2143276046489901E-3</v>
      </c>
      <c r="F8" s="1">
        <f t="shared" si="2"/>
        <v>-6.4931847239561554E-5</v>
      </c>
      <c r="G8" s="1">
        <f>G6-G3-G17</f>
        <v>2.519384151813923E-4</v>
      </c>
      <c r="H8" s="1">
        <f t="shared" ref="H8:L8" si="3">H6-H3-H17</f>
        <v>1.7456441276590744E-4</v>
      </c>
      <c r="I8" s="1">
        <f t="shared" si="3"/>
        <v>2.0937823533718835E-4</v>
      </c>
      <c r="J8" s="1">
        <f t="shared" si="3"/>
        <v>-6.5983703305132863E-5</v>
      </c>
      <c r="K8" s="1">
        <f t="shared" si="3"/>
        <v>7.000000000000014E-4</v>
      </c>
      <c r="L8" s="1">
        <f t="shared" si="3"/>
        <v>6.0000000000001242E-4</v>
      </c>
      <c r="M8" s="1">
        <f>M6-M3-M17-M19</f>
        <v>-1.0000000000001533E-4</v>
      </c>
      <c r="O8" s="1">
        <f>AVERAGE(F8:M8)</f>
        <v>2.1312068909247402E-4</v>
      </c>
    </row>
    <row r="9" spans="1:19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9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9" x14ac:dyDescent="0.25">
      <c r="A12" s="7" t="s">
        <v>10</v>
      </c>
      <c r="G12" s="7">
        <v>2019</v>
      </c>
      <c r="H12" s="7">
        <v>2020</v>
      </c>
      <c r="I12" s="7">
        <v>2021</v>
      </c>
      <c r="J12" s="7">
        <v>2022</v>
      </c>
      <c r="K12" s="7">
        <v>2023</v>
      </c>
      <c r="L12" s="7">
        <v>2024</v>
      </c>
      <c r="M12" s="7">
        <v>2025</v>
      </c>
      <c r="Q12" t="s">
        <v>12</v>
      </c>
    </row>
    <row r="13" spans="1:19" x14ac:dyDescent="0.25">
      <c r="A13" t="s">
        <v>0</v>
      </c>
      <c r="G13" s="4">
        <f>((6/12)*0.19%)+((6/12)*0.05%)</f>
        <v>1.2000000000000001E-3</v>
      </c>
      <c r="H13" s="1">
        <f>H3</f>
        <v>5.0000000000000001E-4</v>
      </c>
      <c r="I13" s="1">
        <v>5.0000000000000001E-4</v>
      </c>
      <c r="J13" s="1">
        <v>5.0000000000000001E-4</v>
      </c>
      <c r="K13" s="1">
        <v>5.0000000000000001E-4</v>
      </c>
      <c r="L13" s="1">
        <v>5.0000000000000001E-4</v>
      </c>
      <c r="M13" s="1">
        <v>5.0000000000000001E-4</v>
      </c>
      <c r="Q13" t="s">
        <v>13</v>
      </c>
    </row>
    <row r="14" spans="1:19" x14ac:dyDescent="0.25">
      <c r="A14" t="s">
        <v>8</v>
      </c>
      <c r="B14" s="6"/>
      <c r="C14" s="6"/>
      <c r="D14" s="6"/>
      <c r="E14" s="6"/>
      <c r="F14" s="6"/>
      <c r="G14" s="6">
        <v>92199</v>
      </c>
      <c r="H14" s="6">
        <v>545356</v>
      </c>
      <c r="I14" s="6">
        <v>1308526</v>
      </c>
      <c r="J14" s="6">
        <v>1584473</v>
      </c>
      <c r="K14" s="6">
        <v>1722480</v>
      </c>
      <c r="L14" s="6">
        <v>2452597</v>
      </c>
      <c r="M14" s="6"/>
      <c r="Q14" t="s">
        <v>17</v>
      </c>
    </row>
    <row r="15" spans="1:19" x14ac:dyDescent="0.25">
      <c r="A15" t="s">
        <v>11</v>
      </c>
      <c r="B15" s="6"/>
      <c r="C15" s="6"/>
      <c r="D15" s="6"/>
      <c r="E15" s="6"/>
      <c r="F15" s="6">
        <f>F14/F3</f>
        <v>0</v>
      </c>
      <c r="G15" s="6">
        <f>G14/G13</f>
        <v>76832500</v>
      </c>
      <c r="H15" s="6">
        <f>H14/H13</f>
        <v>1090712000</v>
      </c>
      <c r="I15" s="6">
        <f>I14/I13</f>
        <v>2617052000</v>
      </c>
      <c r="J15" s="6">
        <f t="shared" ref="J15:M15" si="4">J14/J13</f>
        <v>3168946000</v>
      </c>
      <c r="K15" s="6">
        <f t="shared" si="4"/>
        <v>3444960000</v>
      </c>
      <c r="L15" s="6">
        <f t="shared" si="4"/>
        <v>4905194000</v>
      </c>
      <c r="M15" s="6">
        <f t="shared" si="4"/>
        <v>0</v>
      </c>
    </row>
    <row r="16" spans="1:19" x14ac:dyDescent="0.25">
      <c r="A16" t="s">
        <v>7</v>
      </c>
      <c r="G16" s="6">
        <v>25753</v>
      </c>
      <c r="H16" s="6">
        <v>440112</v>
      </c>
      <c r="I16" s="6"/>
      <c r="J16" s="6"/>
      <c r="K16" s="6"/>
      <c r="L16" s="6"/>
      <c r="M16" s="6"/>
    </row>
    <row r="17" spans="1:13" x14ac:dyDescent="0.25">
      <c r="A17" t="s">
        <v>7</v>
      </c>
      <c r="G17" s="5">
        <f>G16/G15</f>
        <v>3.3518367878176552E-4</v>
      </c>
      <c r="H17" s="5">
        <f>H16/H15</f>
        <v>4.0350890060804318E-4</v>
      </c>
      <c r="I17" s="5">
        <v>4.0000000000000002E-4</v>
      </c>
      <c r="J17" s="5">
        <v>2.9999999999999997E-4</v>
      </c>
      <c r="K17" s="5">
        <v>2.9999999999999997E-4</v>
      </c>
      <c r="L17" s="5">
        <v>2.9999999999999997E-4</v>
      </c>
      <c r="M17" s="4">
        <v>2.9999999999999997E-4</v>
      </c>
    </row>
    <row r="19" spans="1:13" x14ac:dyDescent="0.25">
      <c r="A19" t="s">
        <v>19</v>
      </c>
      <c r="J19" t="s">
        <v>20</v>
      </c>
      <c r="K19" t="s">
        <v>20</v>
      </c>
      <c r="L19" t="s">
        <v>20</v>
      </c>
      <c r="M19" s="1">
        <v>6.9999999999999999E-4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E305-5D1D-495E-B105-DF0B155455C9}">
  <dimension ref="B2:D18"/>
  <sheetViews>
    <sheetView zoomScale="130" zoomScaleNormal="130" workbookViewId="0">
      <selection activeCell="D8" sqref="D8"/>
    </sheetView>
  </sheetViews>
  <sheetFormatPr defaultRowHeight="15" x14ac:dyDescent="0.25"/>
  <cols>
    <col min="2" max="2" width="13.7109375" customWidth="1"/>
    <col min="4" max="4" width="16.7109375" bestFit="1" customWidth="1"/>
  </cols>
  <sheetData>
    <row r="2" spans="2:4" x14ac:dyDescent="0.25">
      <c r="B2" s="8" t="s">
        <v>9</v>
      </c>
      <c r="D2" s="4"/>
    </row>
    <row r="4" spans="2:4" x14ac:dyDescent="0.25">
      <c r="B4">
        <v>2025</v>
      </c>
      <c r="D4" s="4">
        <v>0.17610000000000001</v>
      </c>
    </row>
    <row r="5" spans="2:4" x14ac:dyDescent="0.25">
      <c r="B5">
        <v>2024</v>
      </c>
      <c r="D5" s="4">
        <v>0.24940000000000001</v>
      </c>
    </row>
    <row r="6" spans="2:4" x14ac:dyDescent="0.25">
      <c r="B6">
        <v>2023</v>
      </c>
      <c r="D6" s="4">
        <v>0.26950000000000002</v>
      </c>
    </row>
    <row r="7" spans="2:4" x14ac:dyDescent="0.25">
      <c r="B7" s="2">
        <v>44925</v>
      </c>
      <c r="C7">
        <v>107.37309999999999</v>
      </c>
      <c r="D7" s="4">
        <f t="shared" ref="D7:D17" si="0">(C7-C8)/C8</f>
        <v>-0.19533401629669486</v>
      </c>
    </row>
    <row r="8" spans="2:4" x14ac:dyDescent="0.25">
      <c r="B8" s="2">
        <v>44561</v>
      </c>
      <c r="C8">
        <v>133.43809999999999</v>
      </c>
      <c r="D8" s="4">
        <f t="shared" si="0"/>
        <v>0.26859062176466281</v>
      </c>
    </row>
    <row r="9" spans="2:4" x14ac:dyDescent="0.25">
      <c r="B9" s="2">
        <v>44196</v>
      </c>
      <c r="C9">
        <v>105.1861</v>
      </c>
      <c r="D9" s="4">
        <f t="shared" si="0"/>
        <v>0.21262192668662605</v>
      </c>
    </row>
    <row r="10" spans="2:4" x14ac:dyDescent="0.25">
      <c r="B10" s="2">
        <v>43830</v>
      </c>
      <c r="C10">
        <v>86.742699999999999</v>
      </c>
      <c r="D10" s="4">
        <f t="shared" si="0"/>
        <v>0.31472954457270352</v>
      </c>
    </row>
    <row r="11" spans="2:4" x14ac:dyDescent="0.25">
      <c r="B11" s="2">
        <v>43465</v>
      </c>
      <c r="C11">
        <v>65.977599999999995</v>
      </c>
      <c r="D11" s="4">
        <f t="shared" si="0"/>
        <v>-4.6835068152760437E-2</v>
      </c>
    </row>
    <row r="12" spans="2:4" x14ac:dyDescent="0.25">
      <c r="B12" s="2">
        <v>43098</v>
      </c>
      <c r="C12">
        <v>69.219499999999996</v>
      </c>
      <c r="D12" s="4">
        <f t="shared" si="0"/>
        <v>0.21178567239535101</v>
      </c>
    </row>
    <row r="13" spans="2:4" x14ac:dyDescent="0.25">
      <c r="B13" s="2">
        <v>42734</v>
      </c>
      <c r="C13">
        <v>57.121899999999997</v>
      </c>
      <c r="D13" s="4">
        <f t="shared" si="0"/>
        <v>0.10907265815215068</v>
      </c>
    </row>
    <row r="14" spans="2:4" x14ac:dyDescent="0.25">
      <c r="B14" s="2">
        <v>42369</v>
      </c>
      <c r="C14">
        <v>51.504199999999997</v>
      </c>
      <c r="D14" s="4">
        <f t="shared" si="0"/>
        <v>6.995604773747467E-3</v>
      </c>
    </row>
    <row r="15" spans="2:4" x14ac:dyDescent="0.25">
      <c r="B15" s="2">
        <v>42004</v>
      </c>
      <c r="C15">
        <v>51.1464</v>
      </c>
      <c r="D15" s="4">
        <f t="shared" si="0"/>
        <v>0.12684074625681874</v>
      </c>
    </row>
    <row r="16" spans="2:4" x14ac:dyDescent="0.25">
      <c r="B16" s="2">
        <v>41639</v>
      </c>
      <c r="C16">
        <v>45.389200000000002</v>
      </c>
      <c r="D16" s="4">
        <f t="shared" si="0"/>
        <v>0.31696885817164716</v>
      </c>
    </row>
    <row r="17" spans="2:4" x14ac:dyDescent="0.25">
      <c r="B17" s="2">
        <v>41274</v>
      </c>
      <c r="C17">
        <v>34.4649</v>
      </c>
      <c r="D17" s="4">
        <f t="shared" si="0"/>
        <v>0.14987255111300915</v>
      </c>
    </row>
    <row r="18" spans="2:4" x14ac:dyDescent="0.25">
      <c r="B18" s="2">
        <v>40907</v>
      </c>
      <c r="C18">
        <v>29.972799999999999</v>
      </c>
      <c r="D18" s="4"/>
    </row>
  </sheetData>
  <hyperlinks>
    <hyperlink ref="B2" r:id="rId1" xr:uid="{08E2F6A0-8937-45CA-A618-CD9A4AA3B3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Loon</dc:creator>
  <cp:lastModifiedBy>Gerben van Loon</cp:lastModifiedBy>
  <dcterms:created xsi:type="dcterms:W3CDTF">2015-06-05T18:19:34Z</dcterms:created>
  <dcterms:modified xsi:type="dcterms:W3CDTF">2026-01-16T10:27:12Z</dcterms:modified>
</cp:coreProperties>
</file>