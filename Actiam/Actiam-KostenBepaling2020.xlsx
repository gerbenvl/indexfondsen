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D:\GoogleDrive\Financieel\Aandelen\KeuzeWelkIndexFonds\PerFonds\Actiam\"/>
    </mc:Choice>
  </mc:AlternateContent>
  <xr:revisionPtr revIDLastSave="0" documentId="13_ncr:1_{21449A73-3CF6-414A-A6DD-6F9BA867FAF6}" xr6:coauthVersionLast="45" xr6:coauthVersionMax="45" xr10:uidLastSave="{00000000-0000-0000-0000-000000000000}"/>
  <bookViews>
    <workbookView xWindow="-120" yWindow="-120" windowWidth="29040" windowHeight="15840" activeTab="3" xr2:uid="{00000000-000D-0000-FFFF-FFFF00000000}"/>
  </bookViews>
  <sheets>
    <sheet name="Aannames" sheetId="4" r:id="rId1"/>
    <sheet name="MarketCap" sheetId="7" r:id="rId2"/>
    <sheet name="World" sheetId="1" r:id="rId3"/>
    <sheet name="Tracking Difference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7" i="3" l="1"/>
  <c r="D7" i="3"/>
  <c r="E7" i="3"/>
  <c r="F7" i="3"/>
  <c r="C7" i="3"/>
  <c r="D10" i="3"/>
  <c r="E10" i="3"/>
  <c r="F10" i="3"/>
  <c r="C10" i="3"/>
  <c r="C5" i="3" l="1"/>
  <c r="D5" i="3"/>
  <c r="E5" i="3"/>
  <c r="E12" i="3" s="1"/>
  <c r="F5" i="3"/>
  <c r="F12" i="3" s="1"/>
  <c r="C6" i="3"/>
  <c r="C13" i="3" s="1"/>
  <c r="D6" i="3"/>
  <c r="D13" i="3" s="1"/>
  <c r="E6" i="3"/>
  <c r="E13" i="3" s="1"/>
  <c r="F6" i="3"/>
  <c r="F13" i="3" s="1"/>
  <c r="F20" i="3"/>
  <c r="F24" i="3" s="1"/>
  <c r="E20" i="3"/>
  <c r="E24" i="3" s="1"/>
  <c r="D20" i="3"/>
  <c r="F21" i="3"/>
  <c r="F25" i="3" s="1"/>
  <c r="E21" i="3"/>
  <c r="E25" i="3" s="1"/>
  <c r="D21" i="3"/>
  <c r="D25" i="3" s="1"/>
  <c r="D12" i="3"/>
  <c r="C12" i="3"/>
  <c r="H6" i="3" l="1"/>
  <c r="I5" i="3"/>
  <c r="I12" i="3"/>
  <c r="H25" i="3"/>
  <c r="I20" i="3"/>
  <c r="D24" i="3"/>
  <c r="I24" i="3" s="1"/>
  <c r="H21" i="3"/>
  <c r="H13" i="3"/>
  <c r="C9" i="7" l="1"/>
  <c r="C17" i="1"/>
  <c r="C21" i="1" l="1"/>
  <c r="C24" i="1" s="1"/>
  <c r="C16" i="1"/>
  <c r="C18" i="1" s="1"/>
  <c r="C23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Gerben</author>
  </authors>
  <commentList>
    <comment ref="H1" authorId="0" shapeId="0" xr:uid="{7C986E11-419B-48AA-B590-B9AF84C46439}">
      <text>
        <r>
          <rPr>
            <b/>
            <sz val="9"/>
            <color indexed="81"/>
            <rFont val="Tahoma"/>
            <family val="2"/>
          </rPr>
          <t>Gerben:</t>
        </r>
        <r>
          <rPr>
            <sz val="9"/>
            <color indexed="81"/>
            <rFont val="Tahoma"/>
            <family val="2"/>
          </rPr>
          <t xml:space="preserve">
Tracking Difference</t>
        </r>
      </text>
    </comment>
    <comment ref="I1" authorId="0" shapeId="0" xr:uid="{BF0A2CBB-802D-4613-9CB4-5036A6B4F24E}">
      <text>
        <r>
          <rPr>
            <b/>
            <sz val="9"/>
            <color indexed="81"/>
            <rFont val="Tahoma"/>
            <family val="2"/>
          </rPr>
          <t>Gerben:</t>
        </r>
        <r>
          <rPr>
            <sz val="9"/>
            <color indexed="81"/>
            <rFont val="Tahoma"/>
            <family val="2"/>
          </rPr>
          <t xml:space="preserve">
Outperformance Netto Index</t>
        </r>
      </text>
    </comment>
    <comment ref="B18" authorId="0" shapeId="0" xr:uid="{9B32E177-9E47-4B8A-BA3D-C6E6BC6434F4}">
      <text>
        <r>
          <rPr>
            <b/>
            <sz val="9"/>
            <color indexed="81"/>
            <rFont val="Tahoma"/>
            <family val="2"/>
          </rPr>
          <t>Gerben:</t>
        </r>
        <r>
          <rPr>
            <sz val="9"/>
            <color indexed="81"/>
            <rFont val="Tahoma"/>
            <family val="2"/>
          </rPr>
          <t xml:space="preserve">
start in 2017, half jaar, daarom gross index moeten opzoeken bij MSCI: May 30, 2017 t/m Dec 29, 2017
</t>
        </r>
      </text>
    </comment>
  </commentList>
</comments>
</file>

<file path=xl/sharedStrings.xml><?xml version="1.0" encoding="utf-8"?>
<sst xmlns="http://schemas.openxmlformats.org/spreadsheetml/2006/main" count="46" uniqueCount="39">
  <si>
    <t>Gemiddelde</t>
  </si>
  <si>
    <t>Schatting kosten toekomst</t>
  </si>
  <si>
    <t>Kosten gemiddeld</t>
  </si>
  <si>
    <t>Aannames</t>
  </si>
  <si>
    <t>Wat valt op</t>
  </si>
  <si>
    <t>Geen securities lending inkomsten</t>
  </si>
  <si>
    <t>TD</t>
  </si>
  <si>
    <t>OPNI</t>
  </si>
  <si>
    <t>Vs gross</t>
  </si>
  <si>
    <t>Vs net</t>
  </si>
  <si>
    <t>Tracking difference</t>
  </si>
  <si>
    <t>Gat met kosten benadering</t>
  </si>
  <si>
    <t>Schatting tracking diff toekomst</t>
  </si>
  <si>
    <t>MSCI ACWI IMI</t>
  </si>
  <si>
    <t>MSCI World</t>
  </si>
  <si>
    <t>MSCI World SC</t>
  </si>
  <si>
    <t>MSCI Emerging</t>
  </si>
  <si>
    <t>EM small caps</t>
  </si>
  <si>
    <t>+</t>
  </si>
  <si>
    <t>cross check</t>
  </si>
  <si>
    <t>2016-2019</t>
  </si>
  <si>
    <t>Huidige TER en transactiekosten</t>
  </si>
  <si>
    <t>Aanname 100% dividend efficient.</t>
  </si>
  <si>
    <t>Actiam AVIAW</t>
  </si>
  <si>
    <t>Vs gross -ESG</t>
  </si>
  <si>
    <t>Vs net -ESG</t>
  </si>
  <si>
    <t>Actiam AVIAOL</t>
  </si>
  <si>
    <t>MSCI Emerging Markets Index Gross EUR</t>
  </si>
  <si>
    <t>MSCI Emerging Markets Index Net EUR</t>
  </si>
  <si>
    <t>AVIAOL vs index gross -ESG</t>
  </si>
  <si>
    <t>AVIAOL vs index net -ESG</t>
  </si>
  <si>
    <t>schuingedrukt = start jaar</t>
  </si>
  <si>
    <t>MSCI WORLD INDEX (EUR) Gross</t>
  </si>
  <si>
    <t>MSCI WORLD INDEX (EUR) Net</t>
  </si>
  <si>
    <t>TODO</t>
  </si>
  <si>
    <t xml:space="preserve">TODO wanneer gestart. </t>
  </si>
  <si>
    <t>ESG verchil volgens jaarverslag tov volledige index</t>
  </si>
  <si>
    <t>Bruto netto index verschil</t>
  </si>
  <si>
    <t>gemiddeld bruto netto index verschil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</si>
</sst>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 &quot;€&quot;\ * #,##0.00_ ;_ &quot;€&quot;\ * \-#,##0.00_ ;_ &quot;€&quot;\ * &quot;-&quot;??_ ;_ @_ "/>
    <numFmt numFmtId="43" formatCode="_ * #,##0.00_ ;_ * \-#,##0.00_ ;_ * &quot;-&quot;??_ ;_ @_ "/>
    <numFmt numFmtId="164" formatCode="_ &quot;€&quot;\ * #,##0_ ;_ &quot;€&quot;\ * \-#,##0_ ;_ &quot;€&quot;\ * &quot;-&quot;??_ ;_ @_ "/>
    <numFmt numFmtId="165" formatCode="0.000%"/>
    <numFmt numFmtId="166" formatCode="0.0%"/>
    <numFmt numFmtId="167" formatCode="0.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/>
      <right/>
      <top style="double">
        <color auto="1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4">
    <xf numFmtId="0" fontId="0" fillId="0" borderId="0" xfId="0"/>
    <xf numFmtId="0" fontId="2" fillId="0" borderId="0" xfId="0" applyFont="1"/>
    <xf numFmtId="0" fontId="0" fillId="0" borderId="0" xfId="0" applyFont="1"/>
    <xf numFmtId="164" fontId="0" fillId="0" borderId="0" xfId="0" applyNumberFormat="1"/>
    <xf numFmtId="10" fontId="0" fillId="0" borderId="0" xfId="1" applyNumberFormat="1" applyFont="1"/>
    <xf numFmtId="165" fontId="0" fillId="0" borderId="0" xfId="1" applyNumberFormat="1" applyFont="1"/>
    <xf numFmtId="165" fontId="0" fillId="0" borderId="0" xfId="0" applyNumberFormat="1"/>
    <xf numFmtId="10" fontId="0" fillId="0" borderId="0" xfId="0" applyNumberFormat="1"/>
    <xf numFmtId="0" fontId="3" fillId="0" borderId="0" xfId="0" applyFont="1"/>
    <xf numFmtId="0" fontId="0" fillId="2" borderId="0" xfId="0" applyFont="1" applyFill="1"/>
    <xf numFmtId="0" fontId="2" fillId="2" borderId="0" xfId="0" applyFont="1" applyFill="1"/>
    <xf numFmtId="164" fontId="0" fillId="0" borderId="0" xfId="2" applyNumberFormat="1" applyFont="1"/>
    <xf numFmtId="164" fontId="0" fillId="0" borderId="0" xfId="1" applyNumberFormat="1" applyFont="1"/>
    <xf numFmtId="0" fontId="4" fillId="0" borderId="0" xfId="0" applyFont="1"/>
    <xf numFmtId="0" fontId="5" fillId="0" borderId="0" xfId="0" applyFont="1" applyAlignment="1">
      <alignment horizontal="right"/>
    </xf>
    <xf numFmtId="0" fontId="5" fillId="0" borderId="0" xfId="0" applyFont="1"/>
    <xf numFmtId="2" fontId="4" fillId="0" borderId="0" xfId="0" applyNumberFormat="1" applyFont="1"/>
    <xf numFmtId="0" fontId="8" fillId="0" borderId="0" xfId="0" applyFont="1"/>
    <xf numFmtId="0" fontId="9" fillId="0" borderId="0" xfId="0" applyFont="1"/>
    <xf numFmtId="2" fontId="8" fillId="0" borderId="0" xfId="0" applyNumberFormat="1" applyFont="1"/>
    <xf numFmtId="166" fontId="0" fillId="0" borderId="0" xfId="1" applyNumberFormat="1" applyFont="1"/>
    <xf numFmtId="0" fontId="0" fillId="0" borderId="1" xfId="0" applyBorder="1"/>
    <xf numFmtId="43" fontId="0" fillId="0" borderId="0" xfId="3" applyFont="1"/>
    <xf numFmtId="43" fontId="0" fillId="0" borderId="1" xfId="3" applyFont="1" applyBorder="1"/>
    <xf numFmtId="43" fontId="0" fillId="0" borderId="0" xfId="0" applyNumberFormat="1"/>
    <xf numFmtId="9" fontId="0" fillId="0" borderId="0" xfId="1" applyFont="1"/>
    <xf numFmtId="10" fontId="2" fillId="0" borderId="0" xfId="0" applyNumberFormat="1" applyFont="1"/>
    <xf numFmtId="2" fontId="4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2" fontId="10" fillId="0" borderId="0" xfId="0" applyNumberFormat="1" applyFont="1"/>
    <xf numFmtId="0" fontId="10" fillId="0" borderId="0" xfId="0" applyFont="1"/>
    <xf numFmtId="2" fontId="8" fillId="3" borderId="0" xfId="0" applyNumberFormat="1" applyFont="1" applyFill="1"/>
    <xf numFmtId="2" fontId="2" fillId="0" borderId="0" xfId="0" applyNumberFormat="1" applyFont="1"/>
    <xf numFmtId="167" fontId="4" fillId="3" borderId="0" xfId="0" applyNumberFormat="1" applyFont="1" applyFill="1"/>
  </cellXfs>
  <cellStyles count="4">
    <cellStyle name="Komma" xfId="3" builtinId="3"/>
    <cellStyle name="Procent" xfId="1" builtinId="5"/>
    <cellStyle name="Standaard" xfId="0" builtinId="0"/>
    <cellStyle name="Valuta" xfId="2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ECACD-21DA-4904-B85E-A64A90D22818}">
  <dimension ref="B2:B18"/>
  <sheetViews>
    <sheetView workbookViewId="0"/>
  </sheetViews>
  <sheetFormatPr defaultRowHeight="15" x14ac:dyDescent="0.25"/>
  <cols>
    <col min="2" max="2" width="114.28515625" customWidth="1"/>
  </cols>
  <sheetData>
    <row r="2" spans="2:2" x14ac:dyDescent="0.25">
      <c r="B2" s="1" t="s">
        <v>3</v>
      </c>
    </row>
    <row r="3" spans="2:2" x14ac:dyDescent="0.25">
      <c r="B3" s="2" t="s">
        <v>5</v>
      </c>
    </row>
    <row r="4" spans="2:2" x14ac:dyDescent="0.25">
      <c r="B4" s="8"/>
    </row>
    <row r="5" spans="2:2" x14ac:dyDescent="0.25">
      <c r="B5" s="2" t="s">
        <v>22</v>
      </c>
    </row>
    <row r="6" spans="2:2" x14ac:dyDescent="0.25">
      <c r="B6" s="2"/>
    </row>
    <row r="7" spans="2:2" x14ac:dyDescent="0.25">
      <c r="B7" s="2"/>
    </row>
    <row r="10" spans="2:2" x14ac:dyDescent="0.25">
      <c r="B10" s="2"/>
    </row>
    <row r="12" spans="2:2" x14ac:dyDescent="0.25">
      <c r="B12" s="2"/>
    </row>
    <row r="13" spans="2:2" x14ac:dyDescent="0.25">
      <c r="B13" s="2"/>
    </row>
    <row r="14" spans="2:2" x14ac:dyDescent="0.25">
      <c r="B14" s="2"/>
    </row>
    <row r="16" spans="2:2" x14ac:dyDescent="0.25">
      <c r="B16" s="2"/>
    </row>
    <row r="17" spans="2:2" x14ac:dyDescent="0.25">
      <c r="B17" s="2"/>
    </row>
    <row r="18" spans="2:2" x14ac:dyDescent="0.25">
      <c r="B18" s="2"/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6687D-2650-40D8-BB0F-4784280BA24F}">
  <dimension ref="B2:I16"/>
  <sheetViews>
    <sheetView workbookViewId="0">
      <selection activeCell="F3" sqref="F3"/>
    </sheetView>
  </sheetViews>
  <sheetFormatPr defaultRowHeight="15" x14ac:dyDescent="0.25"/>
  <cols>
    <col min="2" max="2" width="20.140625" customWidth="1"/>
    <col min="3" max="3" width="14" customWidth="1"/>
    <col min="6" max="6" width="11.140625" customWidth="1"/>
    <col min="7" max="7" width="15.42578125" customWidth="1"/>
    <col min="8" max="8" width="13.7109375" bestFit="1" customWidth="1"/>
  </cols>
  <sheetData>
    <row r="2" spans="2:9" x14ac:dyDescent="0.25">
      <c r="B2" t="s">
        <v>13</v>
      </c>
      <c r="C2" s="22">
        <v>53732257.130000003</v>
      </c>
      <c r="F2" t="s">
        <v>34</v>
      </c>
    </row>
    <row r="3" spans="2:9" x14ac:dyDescent="0.25">
      <c r="C3" s="22"/>
    </row>
    <row r="4" spans="2:9" x14ac:dyDescent="0.25">
      <c r="C4" s="22"/>
    </row>
    <row r="5" spans="2:9" x14ac:dyDescent="0.25">
      <c r="B5" t="s">
        <v>14</v>
      </c>
      <c r="C5" s="22">
        <v>41819772.990000002</v>
      </c>
      <c r="G5" s="7"/>
      <c r="H5" s="24"/>
      <c r="I5" s="25"/>
    </row>
    <row r="6" spans="2:9" x14ac:dyDescent="0.25">
      <c r="B6" t="s">
        <v>15</v>
      </c>
      <c r="C6" s="22">
        <v>5480574.1299999999</v>
      </c>
      <c r="G6" s="7"/>
      <c r="H6" s="24"/>
      <c r="I6" s="25"/>
    </row>
    <row r="7" spans="2:9" x14ac:dyDescent="0.25">
      <c r="B7" t="s">
        <v>16</v>
      </c>
      <c r="C7" s="22">
        <v>5789028.6699999999</v>
      </c>
      <c r="G7" s="7"/>
      <c r="H7" s="24"/>
      <c r="I7" s="25"/>
    </row>
    <row r="8" spans="2:9" ht="15.75" thickBot="1" x14ac:dyDescent="0.3">
      <c r="B8" t="s">
        <v>17</v>
      </c>
      <c r="C8" s="22">
        <v>642881.34999999963</v>
      </c>
      <c r="D8" t="s">
        <v>18</v>
      </c>
      <c r="H8" s="24"/>
    </row>
    <row r="9" spans="2:9" ht="15.75" thickTop="1" x14ac:dyDescent="0.25">
      <c r="B9" s="21" t="s">
        <v>19</v>
      </c>
      <c r="C9" s="23">
        <f>SUM(C5:C8)</f>
        <v>53732257.140000008</v>
      </c>
      <c r="H9" s="20"/>
    </row>
    <row r="12" spans="2:9" x14ac:dyDescent="0.25">
      <c r="G12" s="7"/>
      <c r="H12" s="24"/>
    </row>
    <row r="13" spans="2:9" x14ac:dyDescent="0.25">
      <c r="G13" s="7"/>
      <c r="H13" s="24"/>
    </row>
    <row r="16" spans="2:9" x14ac:dyDescent="0.25">
      <c r="H16" s="2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24"/>
  <sheetViews>
    <sheetView zoomScaleNormal="100" workbookViewId="0">
      <selection activeCell="B4" sqref="B4"/>
    </sheetView>
  </sheetViews>
  <sheetFormatPr defaultRowHeight="15" x14ac:dyDescent="0.25"/>
  <cols>
    <col min="2" max="2" width="32.28515625" customWidth="1"/>
    <col min="3" max="6" width="17.7109375" customWidth="1"/>
    <col min="7" max="7" width="6.140625" customWidth="1"/>
    <col min="8" max="8" width="13.28515625" customWidth="1"/>
    <col min="9" max="9" width="18" customWidth="1"/>
    <col min="10" max="10" width="91.85546875" customWidth="1"/>
  </cols>
  <sheetData>
    <row r="2" spans="2:10" x14ac:dyDescent="0.25">
      <c r="B2" s="10"/>
      <c r="C2" s="9"/>
      <c r="D2" s="9"/>
      <c r="E2" s="9"/>
      <c r="F2" s="9"/>
      <c r="G2" s="9"/>
      <c r="H2" s="9"/>
      <c r="J2" s="1" t="s">
        <v>4</v>
      </c>
    </row>
    <row r="3" spans="2:10" x14ac:dyDescent="0.25">
      <c r="B3" t="s">
        <v>35</v>
      </c>
    </row>
    <row r="4" spans="2:10" x14ac:dyDescent="0.25">
      <c r="C4" s="1">
        <v>2016</v>
      </c>
      <c r="D4" s="1">
        <v>2017</v>
      </c>
      <c r="E4" s="1">
        <v>2018</v>
      </c>
      <c r="F4" s="1">
        <v>2019</v>
      </c>
      <c r="G4" s="1"/>
      <c r="H4" s="1" t="s">
        <v>0</v>
      </c>
    </row>
    <row r="5" spans="2:10" x14ac:dyDescent="0.25">
      <c r="B5" s="2" t="s">
        <v>34</v>
      </c>
      <c r="C5" s="11"/>
      <c r="D5" s="11"/>
      <c r="E5" s="11"/>
      <c r="F5" s="11"/>
      <c r="G5" s="3"/>
    </row>
    <row r="6" spans="2:10" x14ac:dyDescent="0.25">
      <c r="B6" s="2"/>
      <c r="C6" s="5"/>
      <c r="D6" s="5"/>
      <c r="E6" s="5"/>
      <c r="F6" s="5"/>
      <c r="G6" s="5"/>
      <c r="H6" s="6"/>
      <c r="I6" s="4"/>
    </row>
    <row r="7" spans="2:10" ht="15" customHeight="1" x14ac:dyDescent="0.25">
      <c r="B7" s="2"/>
      <c r="C7" s="5"/>
      <c r="D7" s="5"/>
      <c r="E7" s="5"/>
      <c r="F7" s="5"/>
      <c r="G7" s="5"/>
      <c r="H7" s="6"/>
    </row>
    <row r="8" spans="2:10" ht="15" customHeight="1" x14ac:dyDescent="0.25">
      <c r="B8" s="2"/>
      <c r="C8" s="5"/>
      <c r="D8" s="5"/>
      <c r="E8" s="5"/>
      <c r="F8" s="5"/>
      <c r="G8" s="5"/>
      <c r="H8" s="7"/>
    </row>
    <row r="9" spans="2:10" x14ac:dyDescent="0.25">
      <c r="B9" s="2"/>
      <c r="C9" s="4"/>
      <c r="D9" s="4"/>
      <c r="E9" s="4"/>
      <c r="F9" s="4"/>
      <c r="G9" s="5"/>
      <c r="H9" s="7"/>
    </row>
    <row r="10" spans="2:10" x14ac:dyDescent="0.25">
      <c r="B10" s="2"/>
      <c r="C10" s="4"/>
      <c r="D10" s="4"/>
      <c r="E10" s="4"/>
      <c r="F10" s="4"/>
      <c r="G10" s="5"/>
      <c r="H10" s="7"/>
    </row>
    <row r="11" spans="2:10" x14ac:dyDescent="0.25">
      <c r="B11" s="2"/>
      <c r="C11" s="12"/>
      <c r="D11" s="12"/>
      <c r="E11" s="12"/>
      <c r="F11" s="12"/>
      <c r="G11" s="5"/>
      <c r="H11" s="7"/>
      <c r="J11" s="1"/>
    </row>
    <row r="12" spans="2:10" x14ac:dyDescent="0.25">
      <c r="B12" s="2"/>
      <c r="C12" s="12"/>
      <c r="D12" s="12"/>
      <c r="E12" s="12"/>
      <c r="F12" s="12"/>
      <c r="G12" s="5"/>
      <c r="H12" s="7"/>
    </row>
    <row r="13" spans="2:10" x14ac:dyDescent="0.25">
      <c r="B13" s="2"/>
      <c r="C13" s="4"/>
      <c r="D13" s="4"/>
      <c r="E13" s="4"/>
      <c r="F13" s="4"/>
      <c r="G13" s="5"/>
      <c r="H13" s="7"/>
    </row>
    <row r="14" spans="2:10" ht="15" customHeight="1" x14ac:dyDescent="0.25">
      <c r="B14" s="2"/>
      <c r="C14" s="4"/>
      <c r="D14" s="4"/>
      <c r="E14" s="4"/>
      <c r="F14" s="4"/>
      <c r="G14" s="5"/>
      <c r="H14" s="7"/>
    </row>
    <row r="15" spans="2:10" ht="15" customHeight="1" x14ac:dyDescent="0.25">
      <c r="B15" s="2"/>
      <c r="D15" s="5"/>
      <c r="E15" s="5"/>
      <c r="F15" s="5"/>
      <c r="G15" s="5"/>
      <c r="H15" s="6"/>
    </row>
    <row r="16" spans="2:10" x14ac:dyDescent="0.25">
      <c r="B16" s="2" t="s">
        <v>2</v>
      </c>
      <c r="C16" s="7">
        <f>H8+H13</f>
        <v>0</v>
      </c>
      <c r="D16" s="5" t="s">
        <v>20</v>
      </c>
      <c r="E16" s="5"/>
      <c r="F16" s="5"/>
      <c r="G16" s="5"/>
      <c r="H16" s="6"/>
    </row>
    <row r="17" spans="2:9" x14ac:dyDescent="0.25">
      <c r="B17" s="2" t="s">
        <v>10</v>
      </c>
      <c r="C17" s="4" t="e">
        <f>'Tracking Difference'!#REF!/100</f>
        <v>#REF!</v>
      </c>
      <c r="D17" s="5" t="s">
        <v>20</v>
      </c>
      <c r="E17" s="5"/>
      <c r="F17" s="5"/>
      <c r="G17" s="5"/>
      <c r="H17" s="6"/>
    </row>
    <row r="18" spans="2:9" x14ac:dyDescent="0.25">
      <c r="B18" s="2" t="s">
        <v>11</v>
      </c>
      <c r="C18" s="4" t="e">
        <f>C17-C16</f>
        <v>#REF!</v>
      </c>
      <c r="D18" s="5" t="s">
        <v>20</v>
      </c>
      <c r="E18" s="5"/>
      <c r="F18" s="5"/>
      <c r="G18" s="5"/>
      <c r="H18" s="6"/>
    </row>
    <row r="19" spans="2:9" x14ac:dyDescent="0.25">
      <c r="B19" s="2"/>
      <c r="C19" s="4"/>
      <c r="D19" s="5"/>
      <c r="E19" s="5"/>
      <c r="F19" s="5"/>
      <c r="G19" s="5"/>
      <c r="H19" s="6"/>
    </row>
    <row r="20" spans="2:9" x14ac:dyDescent="0.25">
      <c r="B20" s="2"/>
      <c r="C20" s="4"/>
      <c r="D20" s="5"/>
      <c r="E20" s="5"/>
      <c r="F20" s="5"/>
      <c r="G20" s="5"/>
      <c r="H20" s="6"/>
    </row>
    <row r="21" spans="2:9" x14ac:dyDescent="0.25">
      <c r="B21" s="1" t="s">
        <v>1</v>
      </c>
      <c r="C21" s="26">
        <f>F9+H8</f>
        <v>0</v>
      </c>
      <c r="D21" s="5" t="s">
        <v>21</v>
      </c>
      <c r="E21" s="5"/>
      <c r="F21" s="5"/>
      <c r="G21" s="5"/>
      <c r="H21" s="6"/>
      <c r="I21" s="6"/>
    </row>
    <row r="23" spans="2:9" x14ac:dyDescent="0.25">
      <c r="B23" s="1" t="s">
        <v>12</v>
      </c>
      <c r="C23" s="26" t="e">
        <f>C21+C18</f>
        <v>#REF!</v>
      </c>
    </row>
    <row r="24" spans="2:9" x14ac:dyDescent="0.25">
      <c r="B24" s="1" t="s">
        <v>12</v>
      </c>
      <c r="C24" s="26" t="e">
        <f>C21+#REF!</f>
        <v>#REF!</v>
      </c>
    </row>
  </sheetData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8616F-4365-4E03-AA99-F5C2282C78C2}">
  <dimension ref="B1:K25"/>
  <sheetViews>
    <sheetView tabSelected="1" workbookViewId="0">
      <selection activeCell="J13" sqref="J13"/>
    </sheetView>
  </sheetViews>
  <sheetFormatPr defaultRowHeight="15" x14ac:dyDescent="0.25"/>
  <cols>
    <col min="2" max="2" width="46.85546875" customWidth="1"/>
  </cols>
  <sheetData>
    <row r="1" spans="2:11" x14ac:dyDescent="0.25">
      <c r="C1" s="14">
        <v>2016</v>
      </c>
      <c r="D1" s="14">
        <v>2017</v>
      </c>
      <c r="E1" s="14">
        <v>2018</v>
      </c>
      <c r="F1" s="14">
        <v>2019</v>
      </c>
      <c r="G1" s="13"/>
      <c r="H1" s="15" t="s">
        <v>6</v>
      </c>
      <c r="I1" s="15" t="s">
        <v>7</v>
      </c>
    </row>
    <row r="2" spans="2:11" x14ac:dyDescent="0.25">
      <c r="B2" s="15" t="s">
        <v>23</v>
      </c>
      <c r="C2" s="28">
        <v>11.31</v>
      </c>
      <c r="D2" s="28">
        <v>7.68</v>
      </c>
      <c r="E2" s="28">
        <v>-3.59</v>
      </c>
      <c r="F2" s="28">
        <v>30.47</v>
      </c>
      <c r="G2" s="13"/>
      <c r="H2" s="13"/>
      <c r="I2" s="13"/>
    </row>
    <row r="3" spans="2:11" x14ac:dyDescent="0.25">
      <c r="B3" s="15" t="s">
        <v>32</v>
      </c>
      <c r="C3" s="28">
        <v>11.39</v>
      </c>
      <c r="D3" s="28">
        <v>8.1</v>
      </c>
      <c r="E3" s="28">
        <v>-3.58</v>
      </c>
      <c r="F3" s="28">
        <v>30.67</v>
      </c>
      <c r="G3" s="13"/>
      <c r="H3" s="13"/>
      <c r="I3" s="13"/>
    </row>
    <row r="4" spans="2:11" x14ac:dyDescent="0.25">
      <c r="B4" s="15" t="s">
        <v>33</v>
      </c>
      <c r="C4" s="13">
        <v>10.73</v>
      </c>
      <c r="D4" s="13">
        <v>7.51</v>
      </c>
      <c r="E4" s="13">
        <v>-4.1100000000000003</v>
      </c>
      <c r="F4" s="13">
        <v>30.02</v>
      </c>
      <c r="G4" s="13"/>
      <c r="H4" s="13"/>
      <c r="I4" s="13"/>
    </row>
    <row r="5" spans="2:11" x14ac:dyDescent="0.25">
      <c r="B5" s="15" t="s">
        <v>9</v>
      </c>
      <c r="C5" s="28">
        <f>C2-C4</f>
        <v>0.58000000000000007</v>
      </c>
      <c r="D5" s="28">
        <f>D2-D4</f>
        <v>0.16999999999999993</v>
      </c>
      <c r="E5" s="28">
        <f>E2-E4</f>
        <v>0.52000000000000046</v>
      </c>
      <c r="F5" s="28">
        <f>F2-F4</f>
        <v>0.44999999999999929</v>
      </c>
      <c r="G5" s="13"/>
      <c r="H5" s="13"/>
      <c r="I5" s="16">
        <f>AVERAGE(C5:F5)</f>
        <v>0.42999999999999994</v>
      </c>
    </row>
    <row r="6" spans="2:11" x14ac:dyDescent="0.25">
      <c r="B6" s="15" t="s">
        <v>8</v>
      </c>
      <c r="C6" s="28">
        <f>C3-C2</f>
        <v>8.0000000000000071E-2</v>
      </c>
      <c r="D6" s="28">
        <f>D3-D2</f>
        <v>0.41999999999999993</v>
      </c>
      <c r="E6" s="28">
        <f>E3-E2</f>
        <v>9.9999999999997868E-3</v>
      </c>
      <c r="F6" s="27">
        <f>F3-F2</f>
        <v>0.20000000000000284</v>
      </c>
      <c r="G6" s="13"/>
      <c r="H6" s="16">
        <f>AVERAGE(C6:F6)</f>
        <v>0.17750000000000066</v>
      </c>
      <c r="I6" s="13"/>
    </row>
    <row r="7" spans="2:11" x14ac:dyDescent="0.25">
      <c r="B7" s="15" t="s">
        <v>37</v>
      </c>
      <c r="C7" s="28">
        <f>C3-C4</f>
        <v>0.66000000000000014</v>
      </c>
      <c r="D7" s="28">
        <f t="shared" ref="D7:F7" si="0">D3-D4</f>
        <v>0.58999999999999986</v>
      </c>
      <c r="E7" s="28">
        <f t="shared" si="0"/>
        <v>0.53000000000000025</v>
      </c>
      <c r="F7" s="28">
        <f t="shared" si="0"/>
        <v>0.65000000000000213</v>
      </c>
      <c r="G7" s="13"/>
      <c r="H7" s="16"/>
      <c r="I7" s="13"/>
      <c r="J7" s="32">
        <f>AVERAGE(C7:F7)</f>
        <v>0.6075000000000006</v>
      </c>
      <c r="K7" t="s">
        <v>38</v>
      </c>
    </row>
    <row r="8" spans="2:11" x14ac:dyDescent="0.25">
      <c r="B8" s="15"/>
      <c r="C8" s="28"/>
      <c r="D8" s="28"/>
      <c r="E8" s="28"/>
      <c r="F8" s="28"/>
      <c r="G8" s="13"/>
      <c r="H8" s="13"/>
      <c r="I8" s="16"/>
    </row>
    <row r="9" spans="2:11" x14ac:dyDescent="0.25">
      <c r="B9" s="15" t="s">
        <v>36</v>
      </c>
      <c r="C9" s="28">
        <v>0.03</v>
      </c>
      <c r="D9" s="28">
        <v>-0.1</v>
      </c>
      <c r="E9" s="28">
        <v>0.31</v>
      </c>
      <c r="F9" s="28">
        <v>-0.17</v>
      </c>
      <c r="G9" s="13"/>
      <c r="H9" s="13"/>
      <c r="I9" s="13"/>
    </row>
    <row r="10" spans="2:11" x14ac:dyDescent="0.25">
      <c r="B10" s="15"/>
      <c r="C10" s="28">
        <f>C2-C9</f>
        <v>11.280000000000001</v>
      </c>
      <c r="D10" s="28">
        <f t="shared" ref="D10:F10" si="1">D2-D9</f>
        <v>7.7799999999999994</v>
      </c>
      <c r="E10" s="28">
        <f t="shared" si="1"/>
        <v>-3.9</v>
      </c>
      <c r="F10" s="28">
        <f t="shared" si="1"/>
        <v>30.64</v>
      </c>
      <c r="G10" s="13"/>
      <c r="H10" s="13"/>
      <c r="I10" s="13"/>
    </row>
    <row r="11" spans="2:11" x14ac:dyDescent="0.25">
      <c r="B11" s="15"/>
      <c r="C11" s="28"/>
      <c r="D11" s="28"/>
      <c r="E11" s="28"/>
      <c r="F11" s="28"/>
      <c r="G11" s="13"/>
      <c r="H11" s="13"/>
      <c r="I11" s="13"/>
    </row>
    <row r="12" spans="2:11" x14ac:dyDescent="0.25">
      <c r="B12" s="15" t="s">
        <v>25</v>
      </c>
      <c r="C12" s="28">
        <f>C5-C9</f>
        <v>0.55000000000000004</v>
      </c>
      <c r="D12" s="28">
        <f>D5-D9</f>
        <v>0.26999999999999991</v>
      </c>
      <c r="E12" s="28">
        <f>E5-E9</f>
        <v>0.21000000000000046</v>
      </c>
      <c r="F12" s="28">
        <f>F5-F9</f>
        <v>0.61999999999999933</v>
      </c>
      <c r="G12" s="13"/>
      <c r="H12" s="13"/>
      <c r="I12" s="16">
        <f>AVERAGE(C12:F12)</f>
        <v>0.41249999999999998</v>
      </c>
    </row>
    <row r="13" spans="2:11" x14ac:dyDescent="0.25">
      <c r="B13" s="15" t="s">
        <v>24</v>
      </c>
      <c r="C13" s="28">
        <f>C6+C9</f>
        <v>0.11000000000000007</v>
      </c>
      <c r="D13" s="28">
        <f>D6+D9</f>
        <v>0.31999999999999995</v>
      </c>
      <c r="E13" s="28">
        <f>E6+E9</f>
        <v>0.31999999999999978</v>
      </c>
      <c r="F13" s="28">
        <f>F6+F9</f>
        <v>3.000000000000283E-2</v>
      </c>
      <c r="G13" s="13"/>
      <c r="H13" s="33">
        <f>AVERAGE(C13:F13)</f>
        <v>0.19500000000000065</v>
      </c>
      <c r="I13" s="13"/>
    </row>
    <row r="16" spans="2:11" x14ac:dyDescent="0.25">
      <c r="B16" s="30" t="s">
        <v>31</v>
      </c>
    </row>
    <row r="17" spans="2:10" x14ac:dyDescent="0.25">
      <c r="B17" s="18" t="s">
        <v>26</v>
      </c>
      <c r="D17" s="29">
        <v>8.02</v>
      </c>
      <c r="E17" s="19">
        <v>-10.92</v>
      </c>
      <c r="F17" s="17">
        <v>20.13</v>
      </c>
      <c r="G17" s="17"/>
      <c r="H17" s="17"/>
      <c r="I17" s="19"/>
      <c r="J17" s="17"/>
    </row>
    <row r="18" spans="2:10" x14ac:dyDescent="0.25">
      <c r="B18" s="18" t="s">
        <v>27</v>
      </c>
      <c r="D18" s="29">
        <v>8.6</v>
      </c>
      <c r="E18" s="19">
        <v>-9.91</v>
      </c>
      <c r="F18" s="17">
        <v>21.07</v>
      </c>
      <c r="G18" s="17"/>
      <c r="H18" s="19"/>
      <c r="I18" s="19"/>
      <c r="J18" s="17"/>
    </row>
    <row r="19" spans="2:10" x14ac:dyDescent="0.25">
      <c r="B19" s="18" t="s">
        <v>28</v>
      </c>
      <c r="D19" s="29">
        <v>8.31</v>
      </c>
      <c r="E19" s="19">
        <v>-10.26</v>
      </c>
      <c r="F19" s="17">
        <v>20.6</v>
      </c>
      <c r="G19" s="17"/>
      <c r="H19" s="19"/>
      <c r="I19" s="19"/>
      <c r="J19" s="17"/>
    </row>
    <row r="20" spans="2:10" x14ac:dyDescent="0.25">
      <c r="B20" s="15" t="s">
        <v>9</v>
      </c>
      <c r="D20" s="29">
        <f>D17-D19</f>
        <v>-0.29000000000000092</v>
      </c>
      <c r="E20" s="19">
        <f>E17-E19</f>
        <v>-0.66000000000000014</v>
      </c>
      <c r="F20" s="19">
        <f>F17-F19</f>
        <v>-0.47000000000000242</v>
      </c>
      <c r="G20" s="19"/>
      <c r="H20" s="19"/>
      <c r="I20" s="19">
        <f>AVERAGE(D20:F20)</f>
        <v>-0.47333333333333449</v>
      </c>
      <c r="J20" s="17"/>
    </row>
    <row r="21" spans="2:10" x14ac:dyDescent="0.25">
      <c r="B21" s="15" t="s">
        <v>8</v>
      </c>
      <c r="D21" s="29">
        <f>D18-D17</f>
        <v>0.58000000000000007</v>
      </c>
      <c r="E21" s="19">
        <f>E18-E17</f>
        <v>1.0099999999999998</v>
      </c>
      <c r="F21" s="19">
        <f>F18-F17</f>
        <v>0.94000000000000128</v>
      </c>
      <c r="G21" s="19"/>
      <c r="H21" s="19">
        <f>AVERAGE(D21:F21)</f>
        <v>0.84333333333333371</v>
      </c>
      <c r="I21" s="19"/>
      <c r="J21" s="17"/>
    </row>
    <row r="22" spans="2:10" x14ac:dyDescent="0.25">
      <c r="B22" s="18"/>
      <c r="D22" s="29"/>
      <c r="E22" s="19"/>
      <c r="F22" s="19"/>
      <c r="G22" s="19"/>
      <c r="H22" s="19"/>
      <c r="I22" s="19"/>
      <c r="J22" s="17"/>
    </row>
    <row r="23" spans="2:10" x14ac:dyDescent="0.25">
      <c r="B23" s="15" t="s">
        <v>36</v>
      </c>
      <c r="D23" s="29">
        <v>0.43</v>
      </c>
      <c r="E23" s="19">
        <v>-0.31</v>
      </c>
      <c r="F23" s="17">
        <v>-7.0000000000000007E-2</v>
      </c>
      <c r="G23" s="17"/>
      <c r="H23" s="17"/>
      <c r="I23" s="19"/>
      <c r="J23" s="19"/>
    </row>
    <row r="24" spans="2:10" x14ac:dyDescent="0.25">
      <c r="B24" s="18" t="s">
        <v>30</v>
      </c>
      <c r="D24" s="29">
        <f>D20-D23</f>
        <v>-0.72000000000000086</v>
      </c>
      <c r="E24" s="19">
        <f>E20-E23</f>
        <v>-0.35000000000000014</v>
      </c>
      <c r="F24" s="19">
        <f>F20-F23</f>
        <v>-0.40000000000000241</v>
      </c>
      <c r="G24" s="17"/>
      <c r="H24" s="19"/>
      <c r="I24" s="19">
        <f>AVERAGE(D24:F24)</f>
        <v>-0.4900000000000011</v>
      </c>
      <c r="J24" s="17"/>
    </row>
    <row r="25" spans="2:10" x14ac:dyDescent="0.25">
      <c r="B25" s="18" t="s">
        <v>29</v>
      </c>
      <c r="D25" s="29">
        <f>D21+D23</f>
        <v>1.01</v>
      </c>
      <c r="E25" s="19">
        <f>E21+E23</f>
        <v>0.69999999999999973</v>
      </c>
      <c r="F25" s="19">
        <f>F21+F23</f>
        <v>0.87000000000000122</v>
      </c>
      <c r="G25" s="17"/>
      <c r="H25" s="31">
        <f>AVERAGE(D25:F25)</f>
        <v>0.86000000000000032</v>
      </c>
      <c r="I25" s="19"/>
      <c r="J25" s="17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4</vt:i4>
      </vt:variant>
    </vt:vector>
  </HeadingPairs>
  <TitlesOfParts>
    <vt:vector size="4" baseType="lpstr">
      <vt:lpstr>Aannames</vt:lpstr>
      <vt:lpstr>MarketCap</vt:lpstr>
      <vt:lpstr>World</vt:lpstr>
      <vt:lpstr>Tracking Difference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Gerben</dc:creator>
  <cp:lastModifiedBy>Gerben</cp:lastModifiedBy>
  <dcterms:created xsi:type="dcterms:W3CDTF">2015-06-05T18:19:34Z</dcterms:created>
  <dcterms:modified xsi:type="dcterms:W3CDTF">2020-08-05T17:14:26Z</dcterms:modified>
</cp:coreProperties>
</file>